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gel Fuentealba\Desktop\"/>
    </mc:Choice>
  </mc:AlternateContent>
  <xr:revisionPtr revIDLastSave="0" documentId="8_{E23F9B8D-DF0A-44E6-AAFE-C4732ED2E9C9}" xr6:coauthVersionLast="47" xr6:coauthVersionMax="47" xr10:uidLastSave="{00000000-0000-0000-0000-000000000000}"/>
  <bookViews>
    <workbookView xWindow="-108" yWindow="-108" windowWidth="23256" windowHeight="13896" xr2:uid="{9EFBE748-D556-429F-B5BB-78D39D957E86}"/>
  </bookViews>
  <sheets>
    <sheet name="PV - ASM II" sheetId="45" r:id="rId1"/>
    <sheet name="B.DATOS - ASM II" sheetId="46" r:id="rId2"/>
    <sheet name="ENTREGA SMII" sheetId="47" r:id="rId3"/>
  </sheets>
  <definedNames>
    <definedName name="_xlnm._FilterDatabase" localSheetId="2" hidden="1">'ENTREGA SMII'!$B$7:$P$209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5" l="1"/>
  <c r="B31" i="45"/>
  <c r="B30" i="45"/>
  <c r="B29" i="45"/>
  <c r="B28" i="45"/>
  <c r="B27" i="45"/>
  <c r="B26" i="45"/>
  <c r="B25" i="45"/>
  <c r="B24" i="45"/>
  <c r="B23" i="45"/>
  <c r="B22" i="45"/>
  <c r="B21" i="45"/>
  <c r="B20" i="45"/>
  <c r="B18" i="45"/>
  <c r="B17" i="45"/>
  <c r="B16" i="45"/>
  <c r="B15" i="45"/>
  <c r="B14" i="45"/>
  <c r="B13" i="45"/>
  <c r="B12" i="45"/>
  <c r="B11" i="45"/>
  <c r="B10" i="45"/>
  <c r="L5" i="45"/>
  <c r="F3" i="47"/>
  <c r="L3" i="45"/>
  <c r="L2" i="45"/>
  <c r="L4" i="45"/>
  <c r="H3" i="47"/>
  <c r="F5" i="47"/>
  <c r="N206" i="46"/>
  <c r="N205" i="46"/>
  <c r="N204" i="46"/>
  <c r="N203" i="46"/>
  <c r="N202" i="46"/>
  <c r="N201" i="46"/>
  <c r="N200" i="46"/>
  <c r="N199" i="46"/>
  <c r="N198" i="46"/>
  <c r="N197" i="46"/>
  <c r="N196" i="46"/>
  <c r="N195" i="46"/>
  <c r="N194" i="46"/>
  <c r="N193" i="46"/>
  <c r="Q193" i="46" s="1"/>
  <c r="N192" i="46"/>
  <c r="N191" i="46"/>
  <c r="N190" i="46"/>
  <c r="N189" i="46"/>
  <c r="N188" i="46"/>
  <c r="N187" i="46"/>
  <c r="N186" i="46"/>
  <c r="N185" i="46"/>
  <c r="N184" i="46"/>
  <c r="N183" i="46"/>
  <c r="N182" i="46"/>
  <c r="N181" i="46"/>
  <c r="N180" i="46"/>
  <c r="N179" i="46"/>
  <c r="N178" i="46"/>
  <c r="N177" i="46"/>
  <c r="N176" i="46"/>
  <c r="N175" i="46"/>
  <c r="N174" i="46"/>
  <c r="N173" i="46"/>
  <c r="N172" i="46"/>
  <c r="N171" i="46"/>
  <c r="N170" i="46"/>
  <c r="N169" i="46"/>
  <c r="N168" i="46"/>
  <c r="N167" i="46"/>
  <c r="N166" i="46"/>
  <c r="N165" i="46"/>
  <c r="N164" i="46"/>
  <c r="N163" i="46"/>
  <c r="N162" i="46"/>
  <c r="N161" i="46"/>
  <c r="N160" i="46"/>
  <c r="N159" i="46"/>
  <c r="N158" i="46"/>
  <c r="N157" i="46"/>
  <c r="N156" i="46"/>
  <c r="N155" i="46"/>
  <c r="N154" i="46"/>
  <c r="N153" i="46"/>
  <c r="N152" i="46"/>
  <c r="N151" i="46"/>
  <c r="N150" i="46"/>
  <c r="N149" i="46"/>
  <c r="N148" i="46"/>
  <c r="N147" i="46"/>
  <c r="N146" i="46"/>
  <c r="N145" i="46"/>
  <c r="N144" i="46"/>
  <c r="N143" i="46"/>
  <c r="N142" i="46"/>
  <c r="N141" i="46"/>
  <c r="N140" i="46"/>
  <c r="N139" i="46"/>
  <c r="N138" i="46"/>
  <c r="N137" i="46"/>
  <c r="N136" i="46"/>
  <c r="N135" i="46"/>
  <c r="N134" i="46"/>
  <c r="N133" i="46"/>
  <c r="N132" i="46"/>
  <c r="N131" i="46"/>
  <c r="N130" i="46"/>
  <c r="N129" i="46"/>
  <c r="N128" i="46"/>
  <c r="N127" i="46"/>
  <c r="N126" i="46"/>
  <c r="N125" i="46"/>
  <c r="N124" i="46"/>
  <c r="N123" i="46"/>
  <c r="N122" i="46"/>
  <c r="N121" i="46"/>
  <c r="N120" i="46"/>
  <c r="N119" i="46"/>
  <c r="N118" i="46"/>
  <c r="N117" i="46"/>
  <c r="N116" i="46"/>
  <c r="N115" i="46"/>
  <c r="N114" i="46"/>
  <c r="N113" i="46"/>
  <c r="N112" i="46"/>
  <c r="N111" i="46"/>
  <c r="N110" i="46"/>
  <c r="N109" i="46"/>
  <c r="N108" i="46"/>
  <c r="N107" i="46"/>
  <c r="N106" i="46"/>
  <c r="N105" i="46"/>
  <c r="N104" i="46"/>
  <c r="N103" i="46"/>
  <c r="N102" i="46"/>
  <c r="N101" i="46"/>
  <c r="N100" i="46"/>
  <c r="N99" i="46"/>
  <c r="N98" i="46"/>
  <c r="N97" i="46"/>
  <c r="N96" i="46"/>
  <c r="N95" i="46"/>
  <c r="N94" i="46"/>
  <c r="N93" i="46"/>
  <c r="N92" i="46"/>
  <c r="N91" i="46"/>
  <c r="N90" i="46"/>
  <c r="N89" i="46"/>
  <c r="N88" i="46"/>
  <c r="N87" i="46"/>
  <c r="N86" i="46"/>
  <c r="N85" i="46"/>
  <c r="N84" i="46"/>
  <c r="N83" i="46"/>
  <c r="N82" i="46"/>
  <c r="N81" i="46"/>
  <c r="N80" i="46"/>
  <c r="N79" i="46"/>
  <c r="N78" i="46"/>
  <c r="N77" i="46"/>
  <c r="N76" i="46"/>
  <c r="N75" i="46"/>
  <c r="N74" i="46"/>
  <c r="N73" i="46"/>
  <c r="N72" i="46"/>
  <c r="N71" i="46"/>
  <c r="N70" i="46"/>
  <c r="N69" i="46"/>
  <c r="N68" i="46"/>
  <c r="N67" i="46"/>
  <c r="N66" i="46"/>
  <c r="N65" i="46"/>
  <c r="N64" i="46"/>
  <c r="N63" i="46"/>
  <c r="N62" i="46"/>
  <c r="N61" i="46"/>
  <c r="N60" i="46"/>
  <c r="N59" i="46"/>
  <c r="N58" i="46"/>
  <c r="N57" i="46"/>
  <c r="N56" i="46"/>
  <c r="N55" i="46"/>
  <c r="N54" i="46"/>
  <c r="N53" i="46"/>
  <c r="N52" i="46"/>
  <c r="N51" i="46"/>
  <c r="N50" i="46"/>
  <c r="N49" i="46"/>
  <c r="N48" i="46"/>
  <c r="N47" i="46"/>
  <c r="N46" i="46"/>
  <c r="N45" i="46"/>
  <c r="N44" i="46"/>
  <c r="N43" i="46"/>
  <c r="N42" i="46"/>
  <c r="N41" i="46"/>
  <c r="N40" i="46"/>
  <c r="N39" i="46"/>
  <c r="N38" i="46"/>
  <c r="N37" i="46"/>
  <c r="N36" i="46"/>
  <c r="N35" i="46"/>
  <c r="N34" i="46"/>
  <c r="N33" i="46"/>
  <c r="N32" i="46"/>
  <c r="N31" i="46"/>
  <c r="N30" i="46"/>
  <c r="N29" i="46"/>
  <c r="N28" i="46"/>
  <c r="N27" i="46"/>
  <c r="N26" i="46"/>
  <c r="N25" i="46"/>
  <c r="N24" i="46"/>
  <c r="N23" i="46"/>
  <c r="N22" i="46"/>
  <c r="N21" i="46"/>
  <c r="N20" i="46"/>
  <c r="N19" i="46"/>
  <c r="N18" i="46"/>
  <c r="N17" i="46"/>
  <c r="N16" i="46"/>
  <c r="N15" i="46"/>
  <c r="N14" i="46"/>
  <c r="N13" i="46"/>
  <c r="N12" i="46"/>
  <c r="N11" i="46"/>
  <c r="N10" i="46"/>
  <c r="N9" i="46"/>
  <c r="N8" i="46"/>
  <c r="N7" i="46"/>
  <c r="O172" i="46" l="1"/>
  <c r="Q172" i="46"/>
  <c r="O68" i="46"/>
  <c r="Q68" i="46"/>
  <c r="O178" i="46"/>
  <c r="Q178" i="46"/>
  <c r="O170" i="46"/>
  <c r="Q170" i="46"/>
  <c r="O34" i="46"/>
  <c r="Q34" i="46"/>
  <c r="O39" i="46"/>
  <c r="Q39" i="46"/>
  <c r="O67" i="46"/>
  <c r="Q67" i="46"/>
  <c r="O28" i="46"/>
  <c r="Q28" i="46"/>
  <c r="O9" i="46"/>
  <c r="Q9" i="46"/>
  <c r="O42" i="46"/>
  <c r="Q42" i="46"/>
  <c r="O148" i="46"/>
  <c r="Q148" i="46"/>
  <c r="O194" i="46"/>
  <c r="Q194" i="46"/>
  <c r="O177" i="46"/>
  <c r="Q177" i="46"/>
  <c r="O111" i="46"/>
  <c r="Q111" i="46"/>
  <c r="O31" i="46"/>
  <c r="Q31" i="46"/>
  <c r="Q200" i="46"/>
  <c r="O200" i="46"/>
  <c r="O171" i="46"/>
  <c r="Q171" i="46"/>
  <c r="O188" i="46"/>
  <c r="Q188" i="46"/>
  <c r="O12" i="46"/>
  <c r="Q12" i="46"/>
  <c r="O192" i="46"/>
  <c r="Q192" i="46"/>
  <c r="Q175" i="46"/>
  <c r="O175" i="46"/>
  <c r="Q8" i="46"/>
  <c r="O8" i="46"/>
  <c r="M2" i="45"/>
  <c r="Q32" i="46"/>
  <c r="O32" i="46"/>
  <c r="O27" i="46"/>
  <c r="Q27" i="46"/>
  <c r="O57" i="46"/>
  <c r="Q57" i="46"/>
  <c r="O89" i="46"/>
  <c r="Q89" i="46"/>
  <c r="O152" i="46"/>
  <c r="Q152" i="46"/>
  <c r="O190" i="46"/>
  <c r="Q190" i="46"/>
  <c r="O150" i="46"/>
  <c r="Q150" i="46"/>
  <c r="O169" i="46"/>
  <c r="Q169" i="46"/>
  <c r="O187" i="46"/>
  <c r="Q187" i="46"/>
  <c r="O137" i="46"/>
  <c r="Q137" i="46"/>
  <c r="O108" i="46"/>
  <c r="Q108" i="46"/>
  <c r="Q7" i="46"/>
  <c r="O7" i="46"/>
  <c r="Q10" i="46"/>
  <c r="O10" i="46"/>
  <c r="Q11" i="46"/>
  <c r="O11" i="46"/>
  <c r="Q13" i="46"/>
  <c r="O13" i="46"/>
  <c r="Q14" i="46"/>
  <c r="O14" i="46"/>
  <c r="Q15" i="46"/>
  <c r="O15" i="46"/>
  <c r="Q16" i="46"/>
  <c r="O16" i="46"/>
  <c r="Q17" i="46"/>
  <c r="O17" i="46"/>
  <c r="Q18" i="46"/>
  <c r="O18" i="46"/>
  <c r="Q19" i="46"/>
  <c r="O19" i="46"/>
  <c r="Q20" i="46"/>
  <c r="O20" i="46"/>
  <c r="Q21" i="46"/>
  <c r="O21" i="46"/>
  <c r="Q22" i="46"/>
  <c r="O22" i="46"/>
  <c r="Q23" i="46"/>
  <c r="O23" i="46"/>
  <c r="Q24" i="46"/>
  <c r="O24" i="46"/>
  <c r="Q25" i="46"/>
  <c r="O25" i="46"/>
  <c r="Q26" i="46"/>
  <c r="O26" i="46"/>
  <c r="Q29" i="46"/>
  <c r="O29" i="46"/>
  <c r="Q30" i="46"/>
  <c r="O30" i="46"/>
  <c r="Q33" i="46"/>
  <c r="O33" i="46"/>
  <c r="Q35" i="46"/>
  <c r="O35" i="46"/>
  <c r="Q36" i="46"/>
  <c r="O36" i="46"/>
  <c r="Q37" i="46"/>
  <c r="O37" i="46"/>
  <c r="Q38" i="46"/>
  <c r="O38" i="46"/>
  <c r="Q40" i="46"/>
  <c r="O40" i="46"/>
  <c r="Q41" i="46"/>
  <c r="O41" i="46"/>
  <c r="Q43" i="46"/>
  <c r="O43" i="46"/>
  <c r="Q44" i="46"/>
  <c r="O44" i="46"/>
  <c r="Q45" i="46"/>
  <c r="O45" i="46"/>
  <c r="Q46" i="46"/>
  <c r="O46" i="46"/>
  <c r="Q47" i="46"/>
  <c r="O47" i="46"/>
  <c r="Q48" i="46"/>
  <c r="O48" i="46"/>
  <c r="Q49" i="46"/>
  <c r="O49" i="46"/>
  <c r="Q50" i="46"/>
  <c r="O50" i="46"/>
  <c r="Q51" i="46"/>
  <c r="O51" i="46"/>
  <c r="Q52" i="46"/>
  <c r="O52" i="46"/>
  <c r="Q53" i="46"/>
  <c r="O53" i="46"/>
  <c r="Q54" i="46"/>
  <c r="O54" i="46"/>
  <c r="Q55" i="46"/>
  <c r="O55" i="46"/>
  <c r="Q56" i="46"/>
  <c r="O56" i="46"/>
  <c r="Q58" i="46"/>
  <c r="O58" i="46"/>
  <c r="Q59" i="46"/>
  <c r="O59" i="46"/>
  <c r="Q60" i="46"/>
  <c r="O60" i="46"/>
  <c r="Q61" i="46"/>
  <c r="O61" i="46"/>
  <c r="Q62" i="46"/>
  <c r="O62" i="46"/>
  <c r="Q63" i="46"/>
  <c r="O63" i="46"/>
  <c r="Q64" i="46"/>
  <c r="O64" i="46"/>
  <c r="Q65" i="46"/>
  <c r="O65" i="46"/>
  <c r="Q66" i="46"/>
  <c r="O66" i="46"/>
  <c r="Q69" i="46"/>
  <c r="O69" i="46"/>
  <c r="Q70" i="46"/>
  <c r="O70" i="46"/>
  <c r="Q71" i="46"/>
  <c r="O71" i="46"/>
  <c r="Q72" i="46"/>
  <c r="O72" i="46"/>
  <c r="Q73" i="46"/>
  <c r="O73" i="46"/>
  <c r="Q74" i="46"/>
  <c r="O74" i="46"/>
  <c r="Q75" i="46"/>
  <c r="O75" i="46"/>
  <c r="Q76" i="46"/>
  <c r="O76" i="46"/>
  <c r="Q77" i="46"/>
  <c r="O77" i="46"/>
  <c r="Q78" i="46"/>
  <c r="O78" i="46"/>
  <c r="Q79" i="46"/>
  <c r="O79" i="46"/>
  <c r="Q80" i="46"/>
  <c r="O80" i="46"/>
  <c r="Q81" i="46"/>
  <c r="O81" i="46"/>
  <c r="Q82" i="46"/>
  <c r="O82" i="46"/>
  <c r="Q83" i="46"/>
  <c r="O83" i="46"/>
  <c r="Q84" i="46"/>
  <c r="O84" i="46"/>
  <c r="Q85" i="46"/>
  <c r="O85" i="46"/>
  <c r="Q86" i="46"/>
  <c r="O86" i="46"/>
  <c r="Q87" i="46"/>
  <c r="O87" i="46"/>
  <c r="Q88" i="46"/>
  <c r="O88" i="46"/>
  <c r="Q90" i="46"/>
  <c r="O90" i="46"/>
  <c r="Q91" i="46"/>
  <c r="O91" i="46"/>
  <c r="Q92" i="46"/>
  <c r="O92" i="46"/>
  <c r="Q93" i="46"/>
  <c r="O93" i="46"/>
  <c r="Q94" i="46"/>
  <c r="O94" i="46"/>
  <c r="Q95" i="46"/>
  <c r="O95" i="46"/>
  <c r="Q96" i="46"/>
  <c r="O96" i="46"/>
  <c r="Q97" i="46"/>
  <c r="O97" i="46"/>
  <c r="Q98" i="46"/>
  <c r="O98" i="46"/>
  <c r="Q99" i="46"/>
  <c r="O99" i="46"/>
  <c r="Q100" i="46"/>
  <c r="O100" i="46"/>
  <c r="Q101" i="46"/>
  <c r="O101" i="46"/>
  <c r="Q102" i="46"/>
  <c r="O102" i="46"/>
  <c r="Q103" i="46"/>
  <c r="O103" i="46"/>
  <c r="Q104" i="46"/>
  <c r="O104" i="46"/>
  <c r="Q105" i="46"/>
  <c r="O105" i="46"/>
  <c r="Q106" i="46"/>
  <c r="O106" i="46"/>
  <c r="Q107" i="46"/>
  <c r="O107" i="46"/>
  <c r="Q109" i="46"/>
  <c r="O109" i="46"/>
  <c r="Q110" i="46"/>
  <c r="O110" i="46"/>
  <c r="Q112" i="46"/>
  <c r="O112" i="46"/>
  <c r="Q113" i="46"/>
  <c r="O113" i="46"/>
  <c r="Q114" i="46"/>
  <c r="O114" i="46"/>
  <c r="Q115" i="46"/>
  <c r="O115" i="46"/>
  <c r="Q116" i="46"/>
  <c r="O116" i="46"/>
  <c r="Q117" i="46"/>
  <c r="O117" i="46"/>
  <c r="Q118" i="46"/>
  <c r="O118" i="46"/>
  <c r="Q119" i="46"/>
  <c r="O119" i="46"/>
  <c r="Q120" i="46"/>
  <c r="O120" i="46"/>
  <c r="Q121" i="46"/>
  <c r="O121" i="46"/>
  <c r="Q122" i="46"/>
  <c r="O122" i="46"/>
  <c r="Q123" i="46"/>
  <c r="O123" i="46"/>
  <c r="Q124" i="46"/>
  <c r="O124" i="46"/>
  <c r="Q125" i="46"/>
  <c r="O125" i="46"/>
  <c r="Q126" i="46"/>
  <c r="O126" i="46"/>
  <c r="Q127" i="46"/>
  <c r="O127" i="46"/>
  <c r="Q128" i="46"/>
  <c r="O128" i="46"/>
  <c r="Q129" i="46"/>
  <c r="O129" i="46"/>
  <c r="Q130" i="46"/>
  <c r="O130" i="46"/>
  <c r="Q131" i="46"/>
  <c r="O131" i="46"/>
  <c r="Q132" i="46"/>
  <c r="O132" i="46"/>
  <c r="Q133" i="46"/>
  <c r="O133" i="46"/>
  <c r="Q134" i="46"/>
  <c r="O134" i="46"/>
  <c r="Q135" i="46"/>
  <c r="O135" i="46"/>
  <c r="Q136" i="46"/>
  <c r="O136" i="46"/>
  <c r="Q138" i="46"/>
  <c r="O138" i="46"/>
  <c r="Q139" i="46"/>
  <c r="O139" i="46"/>
  <c r="Q140" i="46"/>
  <c r="O140" i="46"/>
  <c r="Q141" i="46"/>
  <c r="O141" i="46"/>
  <c r="Q142" i="46"/>
  <c r="O142" i="46"/>
  <c r="Q143" i="46"/>
  <c r="O143" i="46"/>
  <c r="Q144" i="46"/>
  <c r="O144" i="46"/>
  <c r="Q145" i="46"/>
  <c r="O145" i="46"/>
  <c r="Q146" i="46"/>
  <c r="O146" i="46"/>
  <c r="Q147" i="46"/>
  <c r="O147" i="46"/>
  <c r="Q149" i="46"/>
  <c r="O149" i="46"/>
  <c r="Q153" i="46"/>
  <c r="O153" i="46"/>
  <c r="Q154" i="46"/>
  <c r="O154" i="46"/>
  <c r="Q155" i="46"/>
  <c r="O155" i="46"/>
  <c r="Q156" i="46"/>
  <c r="O156" i="46"/>
  <c r="Q157" i="46"/>
  <c r="O157" i="46"/>
  <c r="Q158" i="46"/>
  <c r="O158" i="46"/>
  <c r="Q159" i="46"/>
  <c r="O159" i="46"/>
  <c r="Q160" i="46"/>
  <c r="O160" i="46"/>
  <c r="Q161" i="46"/>
  <c r="O161" i="46"/>
  <c r="Q162" i="46"/>
  <c r="O162" i="46"/>
  <c r="Q163" i="46"/>
  <c r="O163" i="46"/>
  <c r="Q164" i="46"/>
  <c r="O164" i="46"/>
  <c r="Q165" i="46"/>
  <c r="O165" i="46"/>
  <c r="Q166" i="46"/>
  <c r="O166" i="46"/>
  <c r="Q167" i="46"/>
  <c r="O167" i="46"/>
  <c r="Q168" i="46"/>
  <c r="O168" i="46"/>
  <c r="Q173" i="46"/>
  <c r="O173" i="46"/>
  <c r="Q174" i="46"/>
  <c r="O174" i="46"/>
  <c r="Q176" i="46"/>
  <c r="O176" i="46"/>
  <c r="Q179" i="46"/>
  <c r="O179" i="46"/>
  <c r="Q180" i="46"/>
  <c r="O180" i="46"/>
  <c r="Q181" i="46"/>
  <c r="O181" i="46"/>
  <c r="Q182" i="46"/>
  <c r="O182" i="46"/>
  <c r="Q183" i="46"/>
  <c r="O183" i="46"/>
  <c r="Q184" i="46"/>
  <c r="O184" i="46"/>
  <c r="Q185" i="46"/>
  <c r="O185" i="46"/>
  <c r="Q186" i="46"/>
  <c r="O186" i="46"/>
  <c r="Q189" i="46"/>
  <c r="O189" i="46"/>
  <c r="O193" i="46"/>
  <c r="Q195" i="46"/>
  <c r="O195" i="46"/>
  <c r="Q196" i="46"/>
  <c r="O196" i="46"/>
  <c r="Q197" i="46"/>
  <c r="O197" i="46"/>
  <c r="Q198" i="46"/>
  <c r="O198" i="46"/>
  <c r="Q199" i="46"/>
  <c r="O199" i="46"/>
  <c r="Q201" i="46"/>
  <c r="O201" i="46"/>
  <c r="Q202" i="46"/>
  <c r="O202" i="46"/>
  <c r="Q203" i="46"/>
  <c r="O203" i="46"/>
  <c r="Q204" i="46"/>
  <c r="O204" i="46"/>
  <c r="Q205" i="46"/>
  <c r="O205" i="46"/>
  <c r="Q206" i="46"/>
  <c r="O206" i="46"/>
</calcChain>
</file>

<file path=xl/sharedStrings.xml><?xml version="1.0" encoding="utf-8"?>
<sst xmlns="http://schemas.openxmlformats.org/spreadsheetml/2006/main" count="4392" uniqueCount="791">
  <si>
    <t>TERMINADO</t>
  </si>
  <si>
    <t>EN EJECUCION</t>
  </si>
  <si>
    <t>PENDIENTE</t>
  </si>
  <si>
    <t xml:space="preserve"> </t>
  </si>
  <si>
    <t>CERRADA SIN RESPUESTA</t>
  </si>
  <si>
    <t>Medio de Recepción</t>
  </si>
  <si>
    <t>OBSERVACION</t>
  </si>
  <si>
    <t>FECHA PROGRAMACION</t>
  </si>
  <si>
    <t xml:space="preserve">N° ACTA </t>
  </si>
  <si>
    <t>DESCUENTO</t>
  </si>
  <si>
    <t>CARPINTERIA</t>
  </si>
  <si>
    <t>CERAMICAS</t>
  </si>
  <si>
    <t>NA</t>
  </si>
  <si>
    <t>FILTRACION</t>
  </si>
  <si>
    <t>ESPECIALIDAD</t>
  </si>
  <si>
    <t xml:space="preserve">PINTURA </t>
  </si>
  <si>
    <t>ELECTRICO</t>
  </si>
  <si>
    <t xml:space="preserve">CORREO  </t>
  </si>
  <si>
    <t>GAFITER</t>
  </si>
  <si>
    <t>GAFITERIA</t>
  </si>
  <si>
    <t>GASFITER</t>
  </si>
  <si>
    <t>SE BAJAN INTERRUPTORES DE TABLERO ELECTRICO</t>
  </si>
  <si>
    <t xml:space="preserve">CARPINTERIA </t>
  </si>
  <si>
    <t>CORREO</t>
  </si>
  <si>
    <t>LLAMADA</t>
  </si>
  <si>
    <t>VISITA</t>
  </si>
  <si>
    <t>OBRA</t>
  </si>
  <si>
    <t>RUT</t>
  </si>
  <si>
    <t>CONDOMINIO</t>
  </si>
  <si>
    <t>FECHA ACTUAL</t>
  </si>
  <si>
    <t>GARANTIA TERMINACIONES (3 AÑOS)</t>
  </si>
  <si>
    <t>ESTADO GARANTIA TERMINACIONES</t>
  </si>
  <si>
    <t>GARANTIA INSTALACIONES (5 AÑOS)</t>
  </si>
  <si>
    <t>ESTADO GARANTIA INSTALACIONES</t>
  </si>
  <si>
    <t>CONDOMINIO 1</t>
  </si>
  <si>
    <t xml:space="preserve">OK </t>
  </si>
  <si>
    <t>VIGENTE</t>
  </si>
  <si>
    <t>OK</t>
  </si>
  <si>
    <t> </t>
  </si>
  <si>
    <t>CONDOMINIO 2</t>
  </si>
  <si>
    <t>PROGRAMACION POSTVENTA   -  ALTOS DE SAN MIGUEL II</t>
  </si>
  <si>
    <t>N° REQ</t>
  </si>
  <si>
    <t>CLIENTE</t>
  </si>
  <si>
    <t>N° TELEFONICO</t>
  </si>
  <si>
    <t>N° TORRE</t>
  </si>
  <si>
    <t>N° DEPARTAMENTO</t>
  </si>
  <si>
    <t>TIPO DEPARTAMENTO</t>
  </si>
  <si>
    <t xml:space="preserve">ESTADO </t>
  </si>
  <si>
    <t>PROGRAMACION</t>
  </si>
  <si>
    <t>FECHA REQUERIMIENTO</t>
  </si>
  <si>
    <t>FECHA CIERRE</t>
  </si>
  <si>
    <t>DE LA FUENTE ROCO VANESA ALEJANDRA</t>
  </si>
  <si>
    <t>19.474.069-7</t>
  </si>
  <si>
    <t>TORRE 3</t>
  </si>
  <si>
    <t>VUNERABLE 60 MT2</t>
  </si>
  <si>
    <t>ILLANES BARRERA PAOLA BELEN</t>
  </si>
  <si>
    <t>18.157.297-3</t>
  </si>
  <si>
    <t>TORRE 4</t>
  </si>
  <si>
    <t>VILCHES PANDO CLAUDIA ANDREA</t>
  </si>
  <si>
    <t>13.787.070-3</t>
  </si>
  <si>
    <t>TORRE 5</t>
  </si>
  <si>
    <t>VELARDE ESPINOZA MARCELA PAZ</t>
  </si>
  <si>
    <t>19.807.421-7</t>
  </si>
  <si>
    <t>SOTO SILVA VIVIANA ELIZABETH</t>
  </si>
  <si>
    <t>20.340.568-5</t>
  </si>
  <si>
    <t>TORRE 2</t>
  </si>
  <si>
    <t>MENDEZ CACERES MARIELA DEL CARMEN</t>
  </si>
  <si>
    <t>18.571.377-6</t>
  </si>
  <si>
    <t>ARRIAGADA LINCOÑIR LINDSEY</t>
  </si>
  <si>
    <t>17.428.880-1</t>
  </si>
  <si>
    <t>GARCIA FLORES LAURA YESENIA</t>
  </si>
  <si>
    <t>18.575.851-6</t>
  </si>
  <si>
    <t>ROJAS RETAMAL PATRICIA MABEL</t>
  </si>
  <si>
    <t>14.524.724-1</t>
  </si>
  <si>
    <t>ARENAS SILVA JULIETA PAZ</t>
  </si>
  <si>
    <t>22.072.838-2</t>
  </si>
  <si>
    <t>9 99371575</t>
  </si>
  <si>
    <t>FULL 65 MT2</t>
  </si>
  <si>
    <t>GONZALEZ GUZMAN LESLIE YARELLA</t>
  </si>
  <si>
    <t>18.576.077-4</t>
  </si>
  <si>
    <t>BASTIAS FIGUEROA ANDREA CECILIA</t>
  </si>
  <si>
    <t>15.144.992-1</t>
  </si>
  <si>
    <t>MEDIO 60 MT2</t>
  </si>
  <si>
    <t>YAÑEZ DIAZ BARBARA ALEJANDRA</t>
  </si>
  <si>
    <t>19.833.185-6</t>
  </si>
  <si>
    <t>VALDES RODRIGUEZ GISELLE PILAR</t>
  </si>
  <si>
    <t>11.457.260-8</t>
  </si>
  <si>
    <t>PEREZ BASOALTO SONIA ILIANA</t>
  </si>
  <si>
    <t>8.092.822-K</t>
  </si>
  <si>
    <t>RODRIGUEZ RUIZ CATHERINE ELIZABETH</t>
  </si>
  <si>
    <t>16.730.511-3</t>
  </si>
  <si>
    <t>CONCHA MARTINEZ MAIRA ALEJANDRA</t>
  </si>
  <si>
    <t>18.231.585-0</t>
  </si>
  <si>
    <t>SANCHEZ FIGUEROA SILVIA PAOLA</t>
  </si>
  <si>
    <t>15.668.226-8</t>
  </si>
  <si>
    <t>ABIGAIL PRICILA VALLEJOS CARDENAS</t>
  </si>
  <si>
    <t>19.106.678-2</t>
  </si>
  <si>
    <t>TORRE 1</t>
  </si>
  <si>
    <t>MOLINA GONZALEZ NICOL ANDREA</t>
  </si>
  <si>
    <t>18.573.922-8</t>
  </si>
  <si>
    <t>CABRERA AVENDAÑO JULIO ANDRES</t>
  </si>
  <si>
    <t>CAVALLO BALLARA CARLA LOREDANNA</t>
  </si>
  <si>
    <t>16.655.119-6</t>
  </si>
  <si>
    <t>MELLA GUZMAN CARMEN GLORIA</t>
  </si>
  <si>
    <t>18.878.045-8</t>
  </si>
  <si>
    <t>MEDIA 65 MT2</t>
  </si>
  <si>
    <t>MUÑOZ MOLINA JEAN CARLOS</t>
  </si>
  <si>
    <t>CARREÑO FIGUEROA CARINA MAGDALENA</t>
  </si>
  <si>
    <t>18.228.162-K</t>
  </si>
  <si>
    <t>VALDES TALA FERNANDA JAVIERA</t>
  </si>
  <si>
    <t>17.602.886-6</t>
  </si>
  <si>
    <t>MAUREIRA ANDRADES SOLEDAD ESPERANZA</t>
  </si>
  <si>
    <t>19.697.746-5</t>
  </si>
  <si>
    <t>PROGRAMADO</t>
  </si>
  <si>
    <t>DI MARCO ZAMORA MARIA ELIZABETH</t>
  </si>
  <si>
    <t>19.935.637-2</t>
  </si>
  <si>
    <t>GONZALEZ HERRERA CESAR ANTONIO</t>
  </si>
  <si>
    <t>14.016.762-2</t>
  </si>
  <si>
    <t>IBARRA LAMILLA MARIA INES</t>
  </si>
  <si>
    <t>16.729.209-7</t>
  </si>
  <si>
    <t>RODRIGUEZ ARRIAGADA VERONICA CECILIA</t>
  </si>
  <si>
    <t>13.604.942-9</t>
  </si>
  <si>
    <t>PEREDO BRAVO MARTA LIDIA</t>
  </si>
  <si>
    <t>13.204.210-1</t>
  </si>
  <si>
    <t>CACERES AMARO INGRID LORENA DEL CARMEN</t>
  </si>
  <si>
    <t>14.495.648-6</t>
  </si>
  <si>
    <t>ARRIAGADA ARELLANO CLAUDIA ANDREA</t>
  </si>
  <si>
    <t>18.227.909-9</t>
  </si>
  <si>
    <t>CORNEJO MUÑOZ CAMILA PAZ</t>
  </si>
  <si>
    <t>19.806.971-K</t>
  </si>
  <si>
    <t>HERNANDEZ LAGOS DANIELA ALEJANDRA</t>
  </si>
  <si>
    <t>17.056.197-K</t>
  </si>
  <si>
    <t>VALENZUELA VARAS MARIA-JOSE FRANCISCA</t>
  </si>
  <si>
    <t>20.070.677-3</t>
  </si>
  <si>
    <t>CORVELEYN HENRIQUEZ PIA SOLANGE</t>
  </si>
  <si>
    <t>20.171.157-6</t>
  </si>
  <si>
    <t>RIVERA AGUAYO MATIAS IGNACIO</t>
  </si>
  <si>
    <t>20.185.721-K</t>
  </si>
  <si>
    <t>NOVOA LETELIER NOEELY CECILIA</t>
  </si>
  <si>
    <t>18.226.473-3</t>
  </si>
  <si>
    <t>VIVANCO VIVANCO FELIPE EDURADO</t>
  </si>
  <si>
    <t>17.821.925-1</t>
  </si>
  <si>
    <t>MODINGER RAMOS YINELVA IVONNE</t>
  </si>
  <si>
    <t>17.607.347-0</t>
  </si>
  <si>
    <t>SEPULVEDA POBLETE PAZ MICHEL</t>
  </si>
  <si>
    <t>18.571.616-3</t>
  </si>
  <si>
    <t>VARGAS ALBORNOZ CRISTOPHER SEBASTIAN</t>
  </si>
  <si>
    <t>19.807.413-6</t>
  </si>
  <si>
    <t>CAMPOS ROSALES MARIA ALICIA</t>
  </si>
  <si>
    <t>19.044.841-K</t>
  </si>
  <si>
    <t>GUTIERREZ LOPEZ VALESKA ESTER</t>
  </si>
  <si>
    <t>17.374.137-5</t>
  </si>
  <si>
    <t>ROJAS ROJAS NALLELI FRANCHESCA</t>
  </si>
  <si>
    <t>21.010.673-1</t>
  </si>
  <si>
    <t>SAEZ GUERRUT DANIELA FERNANDA</t>
  </si>
  <si>
    <t>19.360.188-K</t>
  </si>
  <si>
    <t>VERDUGO AMARO ALMENDRA CAMILA</t>
  </si>
  <si>
    <t>19.043.388-9</t>
  </si>
  <si>
    <t>HERNANDEZ INOSTROZA ANDREA CAROLINA</t>
  </si>
  <si>
    <t>16.382.610-0</t>
  </si>
  <si>
    <t>19.472.157-9</t>
  </si>
  <si>
    <t>VALENZUELA DURAN IRNALDA ANDREA</t>
  </si>
  <si>
    <t>12.795.807-6</t>
  </si>
  <si>
    <t>ZENTENO CASTILLO BELEN SCARLETTE</t>
  </si>
  <si>
    <t>19.653.040-1</t>
  </si>
  <si>
    <t>VERDUGO VALDES JAVIERA ELISA</t>
  </si>
  <si>
    <t>19.651.537-2</t>
  </si>
  <si>
    <t>VALENZUELA PARRA BELEN ANDREA</t>
  </si>
  <si>
    <t>18.388.745-9</t>
  </si>
  <si>
    <t>TORRE 1 / DISCAPACITADO</t>
  </si>
  <si>
    <t>DISCAPACITADO</t>
  </si>
  <si>
    <t>EYZAGUIRRE FLORES VICTORIA NICOLS</t>
  </si>
  <si>
    <t>ALBURQUENQUE LOPEZ DEBORA SOFIA</t>
  </si>
  <si>
    <t>18.572.751-3</t>
  </si>
  <si>
    <t>OYARCE CASTILLO GLORIA DE LAS MERCEDES</t>
  </si>
  <si>
    <t>6.759.796-6</t>
  </si>
  <si>
    <t>DAVILA MOYA MARITZA IVONNE</t>
  </si>
  <si>
    <t>19.389.416-K</t>
  </si>
  <si>
    <t>ARROYO QUIROZ MATIAS IGNACIO</t>
  </si>
  <si>
    <t>20.037.800-8</t>
  </si>
  <si>
    <t>ESPINOZA LOBOS VERONICA ANDREA</t>
  </si>
  <si>
    <t>16.372.206-2</t>
  </si>
  <si>
    <t>MANCILLA MUÑOZ JEANINNA TATIANA</t>
  </si>
  <si>
    <t>17.497.629-5</t>
  </si>
  <si>
    <t>MARABOLI AVALOS MARIA ELIZABETH</t>
  </si>
  <si>
    <t>19.299.220-6</t>
  </si>
  <si>
    <t>AGUILAR DIAZ JESUS JAVIER</t>
  </si>
  <si>
    <t>26.956.072-K</t>
  </si>
  <si>
    <t>GUTIERREZ CATALAN PEDRO PABLO</t>
  </si>
  <si>
    <t>19.927.661-1</t>
  </si>
  <si>
    <t>SOTO BOOTH LISSETH DE LOS ANGELES</t>
  </si>
  <si>
    <t>18.029.952-1</t>
  </si>
  <si>
    <t>PROGRAMAR</t>
  </si>
  <si>
    <t>VERDUGO QUINTEROS JAIME ANDRES</t>
  </si>
  <si>
    <t>19.255.786-0</t>
  </si>
  <si>
    <t>LOPEZ ROJAS KEINER IGNACIO</t>
  </si>
  <si>
    <t>25.706.297-K</t>
  </si>
  <si>
    <t>HERRERA ARAVENA FELIPE IGNACIO</t>
  </si>
  <si>
    <t>18.778.992-3</t>
  </si>
  <si>
    <t>RAMIREZ CORNEJO LESLY ISABEL</t>
  </si>
  <si>
    <t>18.476.604-3</t>
  </si>
  <si>
    <t>VALENZUELA ZUÑIGA GLADYS MARLENE</t>
  </si>
  <si>
    <t>13.324.380-1</t>
  </si>
  <si>
    <t>19.808.074-8</t>
  </si>
  <si>
    <t>MOLINA MORALES MARIELY ALEJANDRA</t>
  </si>
  <si>
    <t>17.821.597-3</t>
  </si>
  <si>
    <t>MUÑOZ URRA MARÍA CAROLINA</t>
  </si>
  <si>
    <t>10.765.232-9</t>
  </si>
  <si>
    <t>GONZALEZ TAPIA AROLDINA DEL CARMEN</t>
  </si>
  <si>
    <t>7.132.272-6</t>
  </si>
  <si>
    <t>17.810.735-6</t>
  </si>
  <si>
    <t>LOBOS TAPIA BORIS GUILLERMO</t>
  </si>
  <si>
    <t>19.807.623-6</t>
  </si>
  <si>
    <t>TRONCOSO ROJAS FRANCISCA IGNACIA</t>
  </si>
  <si>
    <t>20.704.075-4</t>
  </si>
  <si>
    <t>SEPULVEDA ARAYA NICOLE ALEXANDRA</t>
  </si>
  <si>
    <t>17.967.762-8</t>
  </si>
  <si>
    <t>GUIÑEZ BURGOS MIRENTXU MAGDALENA</t>
  </si>
  <si>
    <t>17.824.112-5</t>
  </si>
  <si>
    <t>SOLIS RIVERA CAROLINA IGNACIA</t>
  </si>
  <si>
    <t>16.729.199-6</t>
  </si>
  <si>
    <t>CONTARDO GIADACH VERONICA AMELY</t>
  </si>
  <si>
    <t>19.697.222-6</t>
  </si>
  <si>
    <t xml:space="preserve">
LETELIER PARADA CRISTOBAL FELIPE</t>
  </si>
  <si>
    <t>ORMAZABAL LOYOLA KATHERINE FRANCISCA</t>
  </si>
  <si>
    <t>18.029.207-1</t>
  </si>
  <si>
    <t>ARAVENA ORTIZ YESENIA ANDREA</t>
  </si>
  <si>
    <t>18.573.151-0</t>
  </si>
  <si>
    <t>MUÑOZ MORALES AYLIN ALMENDRA</t>
  </si>
  <si>
    <t>20.801.531-1</t>
  </si>
  <si>
    <t>SUAZO SOLAR CLAUDIA CECILIA</t>
  </si>
  <si>
    <t>13.355.555-2</t>
  </si>
  <si>
    <t>TORRES  MANCILLA SONNIA DEL CARMEN</t>
  </si>
  <si>
    <t>7.263.409-8</t>
  </si>
  <si>
    <t>MENDEZ VERDUGO IGNACIA BELEN</t>
  </si>
  <si>
    <t>21.707.169-0</t>
  </si>
  <si>
    <t>ALBORNOZ RODRIGUEZ BARBARA ELIZABETH</t>
  </si>
  <si>
    <t>19.474.887-6</t>
  </si>
  <si>
    <t>LORCA GONZALEZ DIEGO MAXIMILIANO</t>
  </si>
  <si>
    <t>20.348.996-K</t>
  </si>
  <si>
    <t>ZAMUDIO CACERES VALENTINA JESUS</t>
  </si>
  <si>
    <t>20.035.960-7</t>
  </si>
  <si>
    <t xml:space="preserve">
OVALLES QUINTERO YAMARU MARIA JOSE</t>
  </si>
  <si>
    <t>HORMAZABAL NUÑEZ GONZALO ANDRES</t>
  </si>
  <si>
    <t>16.731.630-1</t>
  </si>
  <si>
    <t>TAMAYO ESPINOZA ESTEFANIA DEL CARMEN</t>
  </si>
  <si>
    <t>17.665.448-1</t>
  </si>
  <si>
    <t>JOSSELYN ANDREA ROJAS ARCE</t>
  </si>
  <si>
    <t>19.310.814-8</t>
  </si>
  <si>
    <t>NAVARRO ROA FRANCHESCA TAMARA</t>
  </si>
  <si>
    <t>18.474.401-5</t>
  </si>
  <si>
    <t>BARBARA BELEN ABACA GOMEZ</t>
  </si>
  <si>
    <t>19.044.538-0</t>
  </si>
  <si>
    <t>LLANOS PINO MARCO ALONSO</t>
  </si>
  <si>
    <t>20.350.748-8</t>
  </si>
  <si>
    <t>RUIZ MORALES DIEGO ANTONIO</t>
  </si>
  <si>
    <t>18.362.153-K</t>
  </si>
  <si>
    <t>LUNA SEPULVEDA TABITA ANA MARIA</t>
  </si>
  <si>
    <t>16.270.546-6</t>
  </si>
  <si>
    <t>GUTIERREZ ALBORNOZ MARIA ESTEFANY</t>
  </si>
  <si>
    <t>18.573.617-2</t>
  </si>
  <si>
    <t>945504634 </t>
  </si>
  <si>
    <t>GONZALEZ NORAMBUENA MARIA JOSSE</t>
  </si>
  <si>
    <t>19.706.104-9</t>
  </si>
  <si>
    <t xml:space="preserve">GONZALEZ LOPEZ DIEGO ANDRES </t>
  </si>
  <si>
    <t>20.316.766-0</t>
  </si>
  <si>
    <t>SOTO SAAVEDRA MARIA FRANCISCA</t>
  </si>
  <si>
    <t>VARAS BERRIOS MARIANELLA SOLANGE</t>
  </si>
  <si>
    <t>ESPINOZA ROJAS LUIS ERNESTO</t>
  </si>
  <si>
    <t>12.149.427-2</t>
  </si>
  <si>
    <t>MARQUEZ VENEGAS NATALIA ANDREA</t>
  </si>
  <si>
    <t>URZUA JARA JAVIERA ANTONIETA</t>
  </si>
  <si>
    <t>17.443.908-7</t>
  </si>
  <si>
    <t>VUNERABLE 60 MT3</t>
  </si>
  <si>
    <t>BERRIOS MUÑOZ NATALIA GEMA</t>
  </si>
  <si>
    <t>18.798.636-2</t>
  </si>
  <si>
    <t>97233 5724</t>
  </si>
  <si>
    <t xml:space="preserve">
PIZARRO PEQUEÑO DANIEL LEONARDO</t>
  </si>
  <si>
    <t>16.169.930-6</t>
  </si>
  <si>
    <t>MARQUEZ LOPEZ LUIS SEBASTIAN</t>
  </si>
  <si>
    <t>MUÑOZ HERRERA DANIEL LEONIDAS</t>
  </si>
  <si>
    <t>FARIAS RODRIGUEZ FELIPE ANDRES</t>
  </si>
  <si>
    <t>17.496.065-8</t>
  </si>
  <si>
    <t>NUÑEZ AGUILAR FRANCO ENRIQUE</t>
  </si>
  <si>
    <t>JARA ROJAS DILAN MAURICIO</t>
  </si>
  <si>
    <t xml:space="preserve">DIAZ VENEGAS CHRISTIAN MICHEL </t>
  </si>
  <si>
    <t>13.858.446-1</t>
  </si>
  <si>
    <t>18.891.906-5</t>
  </si>
  <si>
    <t>27.349.693-9</t>
  </si>
  <si>
    <t>MARTINEZ OBREQUE JAVIER EDUARDO</t>
  </si>
  <si>
    <t>19.999.448-4</t>
  </si>
  <si>
    <t>CABRERA CANALES JAVIERA IGNACIA</t>
  </si>
  <si>
    <t>20.169.696-8</t>
  </si>
  <si>
    <t>19.106.248-5</t>
  </si>
  <si>
    <t>16.001.648-5</t>
  </si>
  <si>
    <t>GONZALEZ VALDES FABIAN ALEXIS</t>
  </si>
  <si>
    <t>19.255.949-9</t>
  </si>
  <si>
    <t>18.780.717-4</t>
  </si>
  <si>
    <t>PEREZ FLORES KATHERINE DEL VALLE</t>
  </si>
  <si>
    <t>26.892.472-8</t>
  </si>
  <si>
    <t>FILTRACION EN LAVAPLATOS</t>
  </si>
  <si>
    <t>MARTINS DA SILVA GIULIA GIOVANA</t>
  </si>
  <si>
    <t>24.964.554-0</t>
  </si>
  <si>
    <t>GONZALEZ QUEVEDO PATRICIO CAMILO</t>
  </si>
  <si>
    <t>18.033.045-3</t>
  </si>
  <si>
    <t>GAETE AHUMADA MARIOL ANABEL</t>
  </si>
  <si>
    <t>17.335.756-7</t>
  </si>
  <si>
    <t>ASTUDILLO GAJARDO RUBY DANIELA DEL CARMEN</t>
  </si>
  <si>
    <t>17.319.655-5</t>
  </si>
  <si>
    <t>GONZALEZ CERDA MARION ORIEL</t>
  </si>
  <si>
    <t>19.044.949-1</t>
  </si>
  <si>
    <t>SEPULVEDA SEPULVEDA NICOLE FRANCISCA</t>
  </si>
  <si>
    <t>19.044.584-4</t>
  </si>
  <si>
    <t xml:space="preserve">
MORENO VALDES MARIA FERNANDA</t>
  </si>
  <si>
    <t>19.828.226-K</t>
  </si>
  <si>
    <t xml:space="preserve">
CRUZ CASTRO FIDEL ANDRES</t>
  </si>
  <si>
    <t>VERA AHUMADA MELANIE VICTORIA</t>
  </si>
  <si>
    <t>19.558.296-3</t>
  </si>
  <si>
    <t>PAREDES OLAVE JULIO CESAR</t>
  </si>
  <si>
    <t>21.570.369-K</t>
  </si>
  <si>
    <t>SOTO POBLETE GHEISON JOSE</t>
  </si>
  <si>
    <t xml:space="preserve">
GALLARDO CHAVEZ FELIPE IGNACIO</t>
  </si>
  <si>
    <t xml:space="preserve">
SEPULVEDA CACERES DANIELA ALEJANDRA</t>
  </si>
  <si>
    <t>19.043.602-0</t>
  </si>
  <si>
    <t>GAJARDO LOBOS PATRICIA DEL PILAR</t>
  </si>
  <si>
    <t>9.431.780-0</t>
  </si>
  <si>
    <t>MEDINA SAAVEDRA JAVIER ANDRES</t>
  </si>
  <si>
    <t>16.731.438-4</t>
  </si>
  <si>
    <t>11.370.279-6</t>
  </si>
  <si>
    <t>FULL 65 MT5</t>
  </si>
  <si>
    <t>GONZALEZ ROJAS FERNANDA CAROLINA</t>
  </si>
  <si>
    <t>19.390.266-9</t>
  </si>
  <si>
    <t>VALDES PEÑAILILLO HERNAN ALEJANDRO</t>
  </si>
  <si>
    <t>CONTRERAS CIFUENTES ESTHEFANY GUICEL CAROL</t>
  </si>
  <si>
    <t>17.323.008-7</t>
  </si>
  <si>
    <t xml:space="preserve">
ESPINOZA ROJAS MONICA ALEJANDRA</t>
  </si>
  <si>
    <t>CAMBIO DE CAJA ESTANCA BALCON</t>
  </si>
  <si>
    <t>LLAVE DE PASO TOPA EN WC</t>
  </si>
  <si>
    <t>FULL 65 MT6</t>
  </si>
  <si>
    <t xml:space="preserve">FILTTRACION BAÑO </t>
  </si>
  <si>
    <t xml:space="preserve">TINA  </t>
  </si>
  <si>
    <t>FULL 65 MT7</t>
  </si>
  <si>
    <t xml:space="preserve">CALEFON NO ENCIENDE BIEN </t>
  </si>
  <si>
    <t>CALEFON NO ENCIENDE BIEN, BAJA PRESION DEL AGUA</t>
  </si>
  <si>
    <t>CERAMICA ACCESO QUEBRADA</t>
  </si>
  <si>
    <t>SOQUETE PASILLO NO FUNCIONA</t>
  </si>
  <si>
    <t>FILTRACION LOGIA</t>
  </si>
  <si>
    <t xml:space="preserve">FILTRACION BAÑO HUMEDAD </t>
  </si>
  <si>
    <t>AJUSTE DE PUERTAS DEPARTAMENTO</t>
  </si>
  <si>
    <t xml:space="preserve">AUTOMATICO SE BAJA, DEPTO ESTA SIN LUZ </t>
  </si>
  <si>
    <t>SUAREZ QUIROGA PABLO ANDRES</t>
  </si>
  <si>
    <t>19.927.224-1</t>
  </si>
  <si>
    <t>FILTRACION DE AGUA EN BAÑO, CLIENTE AUN NO HABITA DEPTO</t>
  </si>
  <si>
    <t xml:space="preserve">BAJA PRESION DE AGUA, NO PRENDE CALEFON </t>
  </si>
  <si>
    <t xml:space="preserve">BAJA PRESION DE AGUA </t>
  </si>
  <si>
    <t>SEGURO VENTANAL ROTO/MANILLA PUERTA PRINCIPAL SUELTA</t>
  </si>
  <si>
    <t>MURO PIEZA CHICA CON HUMEDAD</t>
  </si>
  <si>
    <t xml:space="preserve">MIERCORES 22 A LAS 09:00 HRS. NO SE ENCONTRABA EN DEPARTAMENTO </t>
  </si>
  <si>
    <r>
      <rPr>
        <sz val="9"/>
        <color rgb="FF000000"/>
        <rFont val="Calibri"/>
        <scheme val="minor"/>
      </rPr>
      <t xml:space="preserve">DETALLES PENDIENTES </t>
    </r>
    <r>
      <rPr>
        <b/>
        <sz val="9"/>
        <color rgb="FF000000"/>
        <rFont val="Calibri"/>
        <scheme val="minor"/>
      </rPr>
      <t>(VER CORREO)</t>
    </r>
  </si>
  <si>
    <t>PENDIENTE A CONFIRMACION DE INGRESO AL DEPARTAMENTO</t>
  </si>
  <si>
    <t xml:space="preserve">EXTRACTOR BAÑO DORMITORIO PRINCIPAL NO SE APAGA </t>
  </si>
  <si>
    <t>SE REALIZA LLAMADO PERO NO RESPONDE (24/10)</t>
  </si>
  <si>
    <t>VENTANA, PARED CON HUMEDAD</t>
  </si>
  <si>
    <t>LANDABUR URRUTIA CARLOS ALEJANDRO</t>
  </si>
  <si>
    <t>18.362.043-6</t>
  </si>
  <si>
    <t>TORRE3</t>
  </si>
  <si>
    <t>TINA PICADA (SE DESPRENDE REPARACION DE TINA)</t>
  </si>
  <si>
    <t xml:space="preserve">ACUMULACION DE AGUA EN BALCON </t>
  </si>
  <si>
    <t>FALTA PINTURA DE BALCON</t>
  </si>
  <si>
    <t>EXTRACTOR BAÑO NO SE APAGA</t>
  </si>
  <si>
    <t>BASE DE DATOS - ALTOS DE SAN MIGUEL II</t>
  </si>
  <si>
    <t>CONTROL DE GARANTIAS</t>
  </si>
  <si>
    <t>N°</t>
  </si>
  <si>
    <t>Cliente</t>
  </si>
  <si>
    <t>N° TELEFONICO 01</t>
  </si>
  <si>
    <t>N° TELEFONICO 02</t>
  </si>
  <si>
    <t>FECHA DE ENTREGA</t>
  </si>
  <si>
    <t>GONZALEZ ANTIL JAVIERA SCARLETH</t>
  </si>
  <si>
    <t>20.925.879-K</t>
  </si>
  <si>
    <t>GONZALEZJAVIERA1211@GMAIL.COM</t>
  </si>
  <si>
    <t>ENTREGADO</t>
  </si>
  <si>
    <t>RAMOS GONZALEZ RICARDO ANDRES</t>
  </si>
  <si>
    <t>20.306.680-5</t>
  </si>
  <si>
    <t>RICARDOANDRES0001@GMAIL.COM</t>
  </si>
  <si>
    <t>ALCANTAR COLOMA SEBASTIAN OCTAVIO</t>
  </si>
  <si>
    <t>18.780.401-9</t>
  </si>
  <si>
    <t>S.ALCANTAR@HOTMAIL.ES</t>
  </si>
  <si>
    <t>CACERES DEL PINO TOMAS ERNESTO</t>
  </si>
  <si>
    <t>8.078.033-8</t>
  </si>
  <si>
    <t>BELENVALENZUELA.PARRA@GMAIL.COM</t>
  </si>
  <si>
    <t>TRONCOSO VERDUGO LUIS ENRIQUE</t>
  </si>
  <si>
    <t>17.496.674-5</t>
  </si>
  <si>
    <t>LUISTRONCOSOPREV@GMAIL.COM</t>
  </si>
  <si>
    <t>FERNANDACGR.96@GMAIL.COM</t>
  </si>
  <si>
    <t>FERNANDEZ ZAPATA MIGUEL ALEJANDRO</t>
  </si>
  <si>
    <t>16.290.040-4</t>
  </si>
  <si>
    <t>sepulvedadaniela.612@gmail.com</t>
  </si>
  <si>
    <t>HERRERA ROCO CARLOS MATIAS</t>
  </si>
  <si>
    <t>18.474.772-3</t>
  </si>
  <si>
    <t xml:space="preserve">ENTREGADO </t>
  </si>
  <si>
    <t>dra.melanievvera@gmail.com</t>
  </si>
  <si>
    <t>MONDACA ROA CAMILA ALEJANDRA</t>
  </si>
  <si>
    <t>18.476.584-5</t>
  </si>
  <si>
    <t>CAMILAA.MOND@GMAIL.COM</t>
  </si>
  <si>
    <t>MORAN LOYOLA CARLA CEILIA DEL CARMEN</t>
  </si>
  <si>
    <t>15.599.701-K</t>
  </si>
  <si>
    <t>CARLAMORAN2000@GMAIL.COM</t>
  </si>
  <si>
    <t>ARRIAGADALINDS@GMAIL.COM</t>
  </si>
  <si>
    <t>NALLELI.FRANR@GMAIL.COM</t>
  </si>
  <si>
    <t>CABRERACANALES99@GMAIL.COM</t>
  </si>
  <si>
    <t>patty.gajardo.63@hotmail.com</t>
  </si>
  <si>
    <t xml:space="preserve">gracielanunezt@gmail.com </t>
  </si>
  <si>
    <t>JARA CARRASCO MARTIN IGNACIO</t>
  </si>
  <si>
    <t>19.390.165-4</t>
  </si>
  <si>
    <t>RDANY28.7@GMAIL.COM</t>
  </si>
  <si>
    <t>SEPULVEDA LARA NICOLAS ANTONIO</t>
  </si>
  <si>
    <t>17.322.178-9</t>
  </si>
  <si>
    <t>NICOSEPULVEDALARA@GMAIL.COM</t>
  </si>
  <si>
    <t>PEREZ YAITUL PAMELA ALEJANDRA</t>
  </si>
  <si>
    <t>15.844.321-K</t>
  </si>
  <si>
    <t>PAMELA.YAITUL1983@GMAIL.COM</t>
  </si>
  <si>
    <t xml:space="preserve">katty01187@gmail.com </t>
  </si>
  <si>
    <t>VERGARA RETAMAL DANIELA ANDREA</t>
  </si>
  <si>
    <t>18.226.418-0</t>
  </si>
  <si>
    <t>VERGARARETAMALDANIELA@GMAIL.COM</t>
  </si>
  <si>
    <t>PINCHEIRA VALDES KARIN ALEJANDRA</t>
  </si>
  <si>
    <t>14.018.541-8</t>
  </si>
  <si>
    <t>KPINCHEIRA@UTALCA.CL</t>
  </si>
  <si>
    <t>SOLEMA1998@GMAIL.COM</t>
  </si>
  <si>
    <t xml:space="preserve">BARRUETO MOYA NATALIA SOLEDAD </t>
  </si>
  <si>
    <t>20.294.217-2</t>
  </si>
  <si>
    <t>NSBM809@GMAIL.COM</t>
  </si>
  <si>
    <t>lsotoboothliset@gmail.com</t>
  </si>
  <si>
    <t>espinozalobosv@gmail.com</t>
  </si>
  <si>
    <t>SEPULVEDA CANDIA VERONICA DEL PILAR</t>
  </si>
  <si>
    <t>12.794.212-9</t>
  </si>
  <si>
    <t>VEROSEPUL.CANDIA@GMAIL.COM</t>
  </si>
  <si>
    <t>PEREZORTIZJUDITH17@GMAIL.COM</t>
  </si>
  <si>
    <t>PABLOSUAREZQ@GMAIL.COM</t>
  </si>
  <si>
    <t>PIZARRO22@GMAIL.COM</t>
  </si>
  <si>
    <t>VARGAS.CRISTOFER1998@GMAIL.COM</t>
  </si>
  <si>
    <t>VILLAR CIFUENTES IGNACIO ANDRES</t>
  </si>
  <si>
    <t>17.321.868-0</t>
  </si>
  <si>
    <t>IGNACIO.VILLAR.C@GMAIL.COM</t>
  </si>
  <si>
    <t>FREDES MONTECINOS VERONICA CECILIA</t>
  </si>
  <si>
    <t>13.575.542-7</t>
  </si>
  <si>
    <t>VCECILIA.FM@GMAIL.COM</t>
  </si>
  <si>
    <t>ESPINOSA DIAZ NICOLE ANDREA</t>
  </si>
  <si>
    <t>17.181.385-9</t>
  </si>
  <si>
    <t>N.ESPINOSA.D@GMAIL.COM</t>
  </si>
  <si>
    <t>MIÑO GONZALEZ CARMEN GLORIA</t>
  </si>
  <si>
    <t>14.553.485-2</t>
  </si>
  <si>
    <t>CARMENMINO09@GMAIL.COM</t>
  </si>
  <si>
    <t xml:space="preserve">andreavalenzuela.1975@gmail.com </t>
  </si>
  <si>
    <t>18.474.321-3</t>
  </si>
  <si>
    <t>nataliamarquezve@gmail.com</t>
  </si>
  <si>
    <t>MAJOGONZALEZ998@GMAIL.COM</t>
  </si>
  <si>
    <t>19.808.469-7</t>
  </si>
  <si>
    <t>2208FRANCO@GMAIL.COM</t>
  </si>
  <si>
    <t>OSORIO CARVAJAL JAVIER ALEJANDRO</t>
  </si>
  <si>
    <t>16.784.161-9</t>
  </si>
  <si>
    <t xml:space="preserve">JOSORIOCARVAJAL@HOTMAIL.COM </t>
  </si>
  <si>
    <t>DANIXSA DEL CARMEN ANDRADES CASTILLO</t>
  </si>
  <si>
    <t>BELENZENTENO.C@GMAIL.COM</t>
  </si>
  <si>
    <t>JEANINNAMANCILLAM@GMAIL.COM</t>
  </si>
  <si>
    <t>LUIS.ESPINOZA@SENAME.CL</t>
  </si>
  <si>
    <t>ANDBASTIAS@UTALCA.CL</t>
  </si>
  <si>
    <t>GIUGIOVANAMS@GMAIL.COM</t>
  </si>
  <si>
    <t>JULIETA.ARENAS.SILVA@GMAIL.COM</t>
  </si>
  <si>
    <t>AYLINMUNOZMORALES@GMAIL.COM</t>
  </si>
  <si>
    <t>lauragarcia199403@gmail.com</t>
  </si>
  <si>
    <t>ESTEFANIATAMAYO2@GMAIL.COM</t>
  </si>
  <si>
    <t>DANIELLEONIDAS94@GMAIL.COM</t>
  </si>
  <si>
    <t>CATHERINERODRIGUEZRUIZ@HOTMAIL.COM</t>
  </si>
  <si>
    <t>VRODRIGUEZARRIAGADA@GMAIL.COM</t>
  </si>
  <si>
    <t>ALEJANDRAVANESA97@GMAIL.COM</t>
  </si>
  <si>
    <t>VELARDEMARCELAPAZ@GMAIL.COM</t>
  </si>
  <si>
    <t>17.901.458-0</t>
  </si>
  <si>
    <t>HERNAN.VALDES.P@GMAIL.COM</t>
  </si>
  <si>
    <t>ROJAS OROSTICA DARIO ISAIAS</t>
  </si>
  <si>
    <t>20.008.837-9</t>
  </si>
  <si>
    <t>DARIOISAIASRO@GMAIL.COM</t>
  </si>
  <si>
    <t>DEBORAALBURQUENQUE@GMAIL.COM</t>
  </si>
  <si>
    <t>CORNEJO GALAZ MARIA DEL CARMEN</t>
  </si>
  <si>
    <t>18.988.677-2</t>
  </si>
  <si>
    <t>cgmarycg@gmail.com</t>
  </si>
  <si>
    <t>NASEPULVEDA.ARAYA@GMAIL.COM</t>
  </si>
  <si>
    <r>
      <t>CORTES CASTILLO SARA BELEN </t>
    </r>
    <r>
      <rPr>
        <sz val="9"/>
        <color rgb="FF000000"/>
        <rFont val="Calibri"/>
        <family val="2"/>
        <charset val="1"/>
      </rPr>
      <t> </t>
    </r>
  </si>
  <si>
    <t>18.893.570-2</t>
  </si>
  <si>
    <t>sara.belencor@gmail.com</t>
  </si>
  <si>
    <t>MARIAESTEFANY.GUTIERREZ@GMAIL.COM</t>
  </si>
  <si>
    <t>PAZMSEPULVEDA@GMAIL.COM</t>
  </si>
  <si>
    <t>INGRID_CACERES28@HOTMAIL.COM</t>
  </si>
  <si>
    <t>RODRIGUEZ LEYTON ELSA CAROLINA</t>
  </si>
  <si>
    <t>16.870.352-K</t>
  </si>
  <si>
    <t>carolacurico@gmail.com</t>
  </si>
  <si>
    <t>YINELVA.MODINGER@GMAIL.COM</t>
  </si>
  <si>
    <t>PAOMUN2018@GMAIL.COM</t>
  </si>
  <si>
    <t>MAJOSEFRANCISCA@GMAIL.COM</t>
  </si>
  <si>
    <t xml:space="preserve">ARAYA MENDOZA MARCOS FELIPE </t>
  </si>
  <si>
    <t>20.304.825-4</t>
  </si>
  <si>
    <t>FELIPE.VIVANCO@HOTMAIL.COM</t>
  </si>
  <si>
    <t>JAVIERA17VERDUGO@GMAIL.COM</t>
  </si>
  <si>
    <t>ELIZABETH.MARABOLI.AVALOS@GMAIL.COM</t>
  </si>
  <si>
    <t>MOLINA ACUÑA ABIGAIL DEVORA</t>
  </si>
  <si>
    <t>17.684.543-0</t>
  </si>
  <si>
    <t>ABIGAILMOLINA204@GMAIL.COM</t>
  </si>
  <si>
    <t>NICOLGONZALEZ358@GMAIL.COM</t>
  </si>
  <si>
    <t>YESENIAARAVENAORTIZ@GMAIL.COM</t>
  </si>
  <si>
    <t>CGONZALEZ@CFJ.CL</t>
  </si>
  <si>
    <t>LESLYRAMIREZ1994@GMAIL.COM</t>
  </si>
  <si>
    <t>LEIVA SEPULVEDA PATRICIA SOFIA</t>
  </si>
  <si>
    <t>16.731.135-0</t>
  </si>
  <si>
    <t>PATRICIALEIVASEPULVEDA@GMAIL.COM</t>
  </si>
  <si>
    <t xml:space="preserve">
ESCOBAR ARAYA TAMARA ALEJANDRA</t>
  </si>
  <si>
    <t>20.009.303-8</t>
  </si>
  <si>
    <t>CARMEN.MELLA.JOAQUIN03@GMAIL.COM</t>
  </si>
  <si>
    <t>ALMENDRAVERDUGO@HOTMAIL.COM</t>
  </si>
  <si>
    <t>GONZALOANDRES.@HOTMAIL.COM</t>
  </si>
  <si>
    <t>17.967.814-4</t>
  </si>
  <si>
    <t>JEYZE91@GMAIL.COM</t>
  </si>
  <si>
    <t>l.s.marquez.lopez@gmail.com</t>
  </si>
  <si>
    <t>MIRENTXU.GUINEZZ@GMAIL.COM</t>
  </si>
  <si>
    <t>RAMOS VASQUEZ URRUSMERI DEL PILAR</t>
  </si>
  <si>
    <t>17.183.562-3</t>
  </si>
  <si>
    <t>PILIRAMOSVASQUEZ1988@GMAIL.COM</t>
  </si>
  <si>
    <t>CORDOVA ARAVENA DULIA DEL TRANSITO</t>
  </si>
  <si>
    <t>11.675.491-6</t>
  </si>
  <si>
    <t>YOSELINE20@OUTLOOK.ES</t>
  </si>
  <si>
    <t>mariajoseovalles24@gmail.com</t>
  </si>
  <si>
    <t>VEYZAGUIRREFLORES@GMAIL.COM</t>
  </si>
  <si>
    <t>tamara.ame@gmail.com / ACHLI_92@HOTMAIL.COM</t>
  </si>
  <si>
    <t>ROJAS VARGAS VALESKA ANDREA</t>
  </si>
  <si>
    <t>15.603.372-3</t>
  </si>
  <si>
    <t>VASLESKAR251@GMAIL.COM</t>
  </si>
  <si>
    <t>silsanfi08@hotmail.com</t>
  </si>
  <si>
    <t>MARITZA.DAVILAMOYA@GMAIL.COM</t>
  </si>
  <si>
    <t>18.226.779-1</t>
  </si>
  <si>
    <t> GHEISON.SP@GMAIL.COM</t>
  </si>
  <si>
    <t>FVALDESTALA@GMAIL.COM</t>
  </si>
  <si>
    <t>DIEGO14_17@HOTMAIL.COM</t>
  </si>
  <si>
    <t>FIDELANDRESCRUZCASTRO@GMAIL.COM</t>
  </si>
  <si>
    <t xml:space="preserve">cristobal.letelier94@gmail.com </t>
  </si>
  <si>
    <t>caritomunos.urra@gmail.com</t>
  </si>
  <si>
    <t>cmagdalena.carreno@gmail.com</t>
  </si>
  <si>
    <t>GUIDOLORCA@GMAIL.COM</t>
  </si>
  <si>
    <t>barbyypablo0@gamil.com</t>
  </si>
  <si>
    <t>GONZALEZ ALMONACID VIVIANA DEL CARMEN</t>
  </si>
  <si>
    <t>15.772.663-3</t>
  </si>
  <si>
    <t>TANIIAALEXANDRA23@GMAIL.COM</t>
  </si>
  <si>
    <t>CACERES TORRES JOSE PATRICIO</t>
  </si>
  <si>
    <t>8.926.994-6</t>
  </si>
  <si>
    <t>VICMACONCHAP@GMAIL.COM</t>
  </si>
  <si>
    <t>GLAVALENZUELA@GMAIL.COM</t>
  </si>
  <si>
    <t>27.217.360-5</t>
  </si>
  <si>
    <t>ELYDIMARCOP@GMAIL.COM</t>
  </si>
  <si>
    <t>FUENZALIDA MUÑOZ STEPHANIE BEVERLY</t>
  </si>
  <si>
    <t>19.728.712-8</t>
  </si>
  <si>
    <t>STEFYFUENZA@HOTMAIL.COM</t>
  </si>
  <si>
    <t>KEINERJP@HOTMAIL.COM</t>
  </si>
  <si>
    <t>MARIONORIELGONZALEZ@ICLOUD.COM</t>
  </si>
  <si>
    <t>VALENZUELA BOBADILLA XIMENA DEL CARMEN</t>
  </si>
  <si>
    <t>10.279.573-3</t>
  </si>
  <si>
    <t>XIMENAVALENZUELA.BOBADILLA@GMAIL.COM</t>
  </si>
  <si>
    <t>LOPEZ CRUZ GRACIELA DE LAS MERCEDES</t>
  </si>
  <si>
    <t>6.171.563-0</t>
  </si>
  <si>
    <t>GRACIELAL.CRUZ1948@GMAIL.COM</t>
  </si>
  <si>
    <t>FELIPEFARIASRO@GMAIL.COM</t>
  </si>
  <si>
    <t>JAVERDUGO2@GMAIL.COM</t>
  </si>
  <si>
    <t>fabian.gvaldes@gmail.com</t>
  </si>
  <si>
    <t>20.520.066-5</t>
  </si>
  <si>
    <t>dilan.jara15@gmail.com</t>
  </si>
  <si>
    <t>IRITIMEX@GMAIL.COM</t>
  </si>
  <si>
    <t>ABY.VALLEJOS25@GMAIL.COM</t>
  </si>
  <si>
    <t>MARCO.LLANOS25@HOTMAIL.COM</t>
  </si>
  <si>
    <t>fransotosaavedra@gmail.com</t>
  </si>
  <si>
    <t>ROJAS HORMAZABAL NICOLE IVONNE</t>
  </si>
  <si>
    <t>17.931.418-5</t>
  </si>
  <si>
    <t>981570015 (LEONARDO PEREZ)</t>
  </si>
  <si>
    <t xml:space="preserve">NROJOS_UCM@HOTMAIL.COM </t>
  </si>
  <si>
    <t>FRANCIJCETR43@GMAIL.COM</t>
  </si>
  <si>
    <t>OBREQUEJAVIER7@GMAIL.COM</t>
  </si>
  <si>
    <t>NAVARRO ARAVENA ALFREDO ANDRES</t>
  </si>
  <si>
    <t>19.059.765-2</t>
  </si>
  <si>
    <t>NAVARROALFREDO123@GMAIL.COM</t>
  </si>
  <si>
    <t>VIVIANASOTITOSILVA@GMAIL.COM</t>
  </si>
  <si>
    <t>CORVALAN CORVALAN KARLA ISABEL</t>
  </si>
  <si>
    <t>18.227.188-8</t>
  </si>
  <si>
    <t>KARLACORVALANC@GMAIL.COM</t>
  </si>
  <si>
    <t>CLAUDIAROJAS1395@HOTMAIL.COM</t>
  </si>
  <si>
    <t>LOREDANNACAVALLO@GMAIL.COM</t>
  </si>
  <si>
    <t>NBERRIOSMUNOZ@GMAIL.COM</t>
  </si>
  <si>
    <t>JAVYTAURJA@GMAIL.COM</t>
  </si>
  <si>
    <t>HERRERA FARIAS FERNANDO ALEJANDRO</t>
  </si>
  <si>
    <t>12.096.499-2</t>
  </si>
  <si>
    <t>HERRERAFARIAS@GMAIL.COM</t>
  </si>
  <si>
    <t>FUANDEZ SALAS MARIA HORTENCIA</t>
  </si>
  <si>
    <t>15.906.140-K</t>
  </si>
  <si>
    <t>MSAEZTSOCIAL01@GMAIL.COM</t>
  </si>
  <si>
    <t>carloslandabur14@gmail.com</t>
  </si>
  <si>
    <t>JAVIER.MEDINA@PFALIMENTOS.CL</t>
  </si>
  <si>
    <t>PEDROGCATALAN98@GMAIL.COM</t>
  </si>
  <si>
    <t>MARIOLGAETE@GMAIL.COM</t>
  </si>
  <si>
    <t>CAMPOS CACERES YARITZA GABRIELA</t>
  </si>
  <si>
    <t>18.891.337-7</t>
  </si>
  <si>
    <t>YARITZACAMPO94@GMAIL.COM</t>
  </si>
  <si>
    <t>V.GUTI.LOPEZ@GMAIL.COM</t>
  </si>
  <si>
    <t>LETELIER BRUNEL FRANCISCO RODRIGO</t>
  </si>
  <si>
    <t>18.176.197-0</t>
  </si>
  <si>
    <t>letelier.brunel@gmail.com</t>
  </si>
  <si>
    <t>18.474.681-6</t>
  </si>
  <si>
    <t>JANDRESCABRERA593@GMAIL.COM</t>
  </si>
  <si>
    <t>ILLANESPAOLA297@GMAIL.COM</t>
  </si>
  <si>
    <t>OLIVARES BUGUEÑO TEODORO ESMINDO</t>
  </si>
  <si>
    <t>5.080.646-4</t>
  </si>
  <si>
    <t>GLABRANAMIRANDA@GMAIL.COM</t>
  </si>
  <si>
    <t>DAHELE@GMAIL.COM</t>
  </si>
  <si>
    <t>VERO_AMELY@LIVE.CL</t>
  </si>
  <si>
    <t>PIA.SOLAN@GMAIL.COM</t>
  </si>
  <si>
    <t>MATIAS.ARROYO.QUIROZ@GMAIL.COM</t>
  </si>
  <si>
    <t>NICOLE.SEPULVEDA67@GMAIL.COM</t>
  </si>
  <si>
    <t>MCAMPOS@SANCLEMENTE.CL</t>
  </si>
  <si>
    <t>GVALEDESR007@GMAIL.COM</t>
  </si>
  <si>
    <t>VILCHESC.2020@GMAIL.COM</t>
  </si>
  <si>
    <t>KHLOECAMILA198@GMAIL.COM</t>
  </si>
  <si>
    <t>mf.morenovaldes@gmail.com</t>
  </si>
  <si>
    <t>VZAMUDIOCACERES@GMAIL.COM</t>
  </si>
  <si>
    <t>SALAZAR ALDANA MANUEL MATIAS EDUARDO</t>
  </si>
  <si>
    <t>17.931.448-7</t>
  </si>
  <si>
    <t>MATYSALAZAR1991@GMAIL.COM</t>
  </si>
  <si>
    <t>ESTHEFANY.CONTRERAS@GMAIL.COM</t>
  </si>
  <si>
    <t>CASANOVA PACHECO IGNACIO JOAQUIN</t>
  </si>
  <si>
    <t>19.389.319-8</t>
  </si>
  <si>
    <t>ICASANOVAPACHECO@GMAIL.COM</t>
  </si>
  <si>
    <t>MUÑOZ VELOZO JAIME IGNACIO</t>
  </si>
  <si>
    <t>20.959.964-3</t>
  </si>
  <si>
    <t>JAIME.VELOZO21@GMAIL.COM</t>
  </si>
  <si>
    <t>9 3962 8882</t>
  </si>
  <si>
    <t>BORIS.LOBOSTAPIA@GMAIL.COM</t>
  </si>
  <si>
    <t>988842139  (Nicolas)</t>
  </si>
  <si>
    <t>DANI.SAEZ.G@GMAIL.COM</t>
  </si>
  <si>
    <t xml:space="preserve">
PATRICIO.GONZAÑLEZ.QUEVEDO@GMAIL.COM</t>
  </si>
  <si>
    <t>OYARZO PEREIRA JORGE HUGO</t>
  </si>
  <si>
    <t>15.473.081-8</t>
  </si>
  <si>
    <t>JORGE.OYARZO1313@GMAIL.COM</t>
  </si>
  <si>
    <t>GONZALEZ RIVERA LISETTE CATALINA</t>
  </si>
  <si>
    <t>20.215.692-4</t>
  </si>
  <si>
    <t>GONZALEZ RIVERALISETTE@GMAIL.COM</t>
  </si>
  <si>
    <t>VASQUEZ CACERES CRISTOBAL ANTONIO</t>
  </si>
  <si>
    <t>19.696.382-0</t>
  </si>
  <si>
    <t>CAVASQUEZ99@GMAIL.COM</t>
  </si>
  <si>
    <t>KATHERINE0453@GMAIL.COM</t>
  </si>
  <si>
    <t>VARASBM@GMAIL.COM</t>
  </si>
  <si>
    <t>IBARRALAMILLAINES2019@GMAIL.COM</t>
  </si>
  <si>
    <t>noeelynovoa@hotmail.com</t>
  </si>
  <si>
    <t>MONTOYA PONCE GLORIA STEFANY</t>
  </si>
  <si>
    <t>17.186.834-3</t>
  </si>
  <si>
    <t>STEFFANN_M.P@HOTMAIL.COM</t>
  </si>
  <si>
    <t>INOSTROZAHERNANDEZ1986@GMAIL.COM</t>
  </si>
  <si>
    <t>FRANCHE.NAVARROROA@GMAIL.COM</t>
  </si>
  <si>
    <t>AGUILERA VENEGAS NAYDA VALESKA STHEFANY</t>
  </si>
  <si>
    <t>19.697.113-0</t>
  </si>
  <si>
    <t>NAYDAAGUILERA@GMAIL.COM</t>
  </si>
  <si>
    <t>19.360.596-6</t>
  </si>
  <si>
    <t>FIGCH.1996@GMAIL.COM</t>
  </si>
  <si>
    <t>IGBELEN1104@GMAIL.COM</t>
  </si>
  <si>
    <t>FERNANDEZ RAMOS CRISTIAN IGNACIO</t>
  </si>
  <si>
    <t>18.780.291-1</t>
  </si>
  <si>
    <t>CRISTIANFERNANDEZ.RA@GMAIL.COM</t>
  </si>
  <si>
    <t>CISTERNA DIAZ IGNACIO ANDRES</t>
  </si>
  <si>
    <t>20.465.925-7</t>
  </si>
  <si>
    <t>ICISTERNADIAZ@GMAIL.COM</t>
  </si>
  <si>
    <t>FELIPE.HERRERA.ARAVENA@HOTMAIL.COM</t>
  </si>
  <si>
    <t>JULIO.PAREDES2004@GMAIL.COM</t>
  </si>
  <si>
    <t>CLAUDIA.SUAZO.S@GMAIL.COM</t>
  </si>
  <si>
    <t>REVILLA SANCHEZ FLORIMAR CAROLINA</t>
  </si>
  <si>
    <t>26.399.265-2</t>
  </si>
  <si>
    <t>FLORIMARREVILLA@HOTMAIL.COM</t>
  </si>
  <si>
    <t>JAFJSV@GMAIL.COM</t>
  </si>
  <si>
    <t>CACERES SOTO VICTORIA ANDREA</t>
  </si>
  <si>
    <t>18.572.694-0</t>
  </si>
  <si>
    <t>VICTORIA.CS2310@GMAIL.COM</t>
  </si>
  <si>
    <t>dgonzalez.cgo@gmail.com</t>
  </si>
  <si>
    <t xml:space="preserve">
REYES BERTOLONE PAULO BENJAMIN</t>
  </si>
  <si>
    <t>19.696.901-2</t>
  </si>
  <si>
    <t>PREYESBERTOLONE@GMAIL.COM</t>
  </si>
  <si>
    <t>PATRICIA1976MABEL@GMAIL.COM</t>
  </si>
  <si>
    <t>MATIASRIVERAAGUAYO199@GMAIL.COM</t>
  </si>
  <si>
    <t>CSOLIS.ARQ@GMAIL.COM</t>
  </si>
  <si>
    <t>MARIIELAMENDEZ2012@GMAIL.COM</t>
  </si>
  <si>
    <t>ALEJANDRO._JESUS@HOTMAIL.COM</t>
  </si>
  <si>
    <t>ARAVENACARLOS.1992@GMAIL.COM</t>
  </si>
  <si>
    <t>PENDIENTE ESCRITURACION</t>
  </si>
  <si>
    <t>PREPARACION DE DEPARTAMENTO</t>
  </si>
  <si>
    <t>RECHAZADO</t>
  </si>
  <si>
    <t>FECHA ESCRITURACION</t>
  </si>
  <si>
    <t>N° CANTIDAD DE ENTREGA</t>
  </si>
  <si>
    <t>ASEO GRUESO</t>
  </si>
  <si>
    <t>CERAMICA</t>
  </si>
  <si>
    <t>CARPINTERIA FINA</t>
  </si>
  <si>
    <t>ASEO FINO</t>
  </si>
  <si>
    <t xml:space="preserve">OBSERVACION </t>
  </si>
  <si>
    <t>FIRMADA 01-04-2025</t>
  </si>
  <si>
    <t>SE ENCONTRARON DETALLES EN ASEO FINO EN REPARACION</t>
  </si>
  <si>
    <t>FIRMADA 17-07-2025</t>
  </si>
  <si>
    <t>NUEVO DETALLE ENCONTRADO, CAJA PAU Y  CERAMICA PICADA</t>
  </si>
  <si>
    <t>FIRMADA 01-10-2024</t>
  </si>
  <si>
    <t>FIRMADA 30-06-2025</t>
  </si>
  <si>
    <t>SE ENTREGARA INFORME</t>
  </si>
  <si>
    <t>FIRMADA 12-03-2025</t>
  </si>
  <si>
    <t>FIRMADA 14-02-2025</t>
  </si>
  <si>
    <t>FIRMADA 31-03-2025</t>
  </si>
  <si>
    <t>FIRMADA 11-10-2024</t>
  </si>
  <si>
    <t>FIRMADA 03-02-2025</t>
  </si>
  <si>
    <t>FIRMADA 15-04-2025</t>
  </si>
  <si>
    <t>FIRMADA 27-02-2025</t>
  </si>
  <si>
    <t>FIRMADA 12-10-2024</t>
  </si>
  <si>
    <t>FIRMADA 21-11-2024</t>
  </si>
  <si>
    <t>FIRMADA 03-10-2024</t>
  </si>
  <si>
    <t>FIRMADA 02-12-2024</t>
  </si>
  <si>
    <t>FIRMADA 16-05-2025</t>
  </si>
  <si>
    <t>RECHAZADO (TODO)</t>
  </si>
  <si>
    <t>TRABAJANDO</t>
  </si>
  <si>
    <t>CERAMICA FALTA FRAGUADO, POSTERIOR CARPINTERIA FINA Y PINTURA</t>
  </si>
  <si>
    <t>FIRMADA 18-02-2025</t>
  </si>
  <si>
    <t>FIRMADA 18-10-2024</t>
  </si>
  <si>
    <t>FIRMADA 10-10-2024</t>
  </si>
  <si>
    <t xml:space="preserve">FIRMADA 16-05-2025 </t>
  </si>
  <si>
    <t>FIRMADA 16-10-2024</t>
  </si>
  <si>
    <t>FIRMADA 27-03-2025</t>
  </si>
  <si>
    <t>FIRMADA 22-10-2024</t>
  </si>
  <si>
    <t>FIRMADA 29-01-2025</t>
  </si>
  <si>
    <t>FIRMADA 25-11-2024</t>
  </si>
  <si>
    <t>RECHAZADO CON DETALLES MENORES CORDINAR PARA 12/09</t>
  </si>
  <si>
    <t>FIRMADO 08-07-2025</t>
  </si>
  <si>
    <t>ENTREGA A LAS 15</t>
  </si>
  <si>
    <t>FIRMADA 18-07-2025</t>
  </si>
  <si>
    <t>A ESPERA DE RESPUESTA POR J.U CON FERNANDA</t>
  </si>
  <si>
    <t>FIRMADA 14-10-2024</t>
  </si>
  <si>
    <t>FIRMA CLIENTE 07-07-2025</t>
  </si>
  <si>
    <t xml:space="preserve">RECHAZADO POR ESMALTADO WC </t>
  </si>
  <si>
    <t>FIRMADA 17-10-2024</t>
  </si>
  <si>
    <t>FIRMADA 16-01-2025</t>
  </si>
  <si>
    <t>FIRMADA 07-02-2025</t>
  </si>
  <si>
    <t>FIRMADA 24-03-2025</t>
  </si>
  <si>
    <t>FIRMADA 09-12-2024</t>
  </si>
  <si>
    <t>FIRMADA 23-05-2025</t>
  </si>
  <si>
    <t>Nuevas Observaciones</t>
  </si>
  <si>
    <t>FIRMADA 25-04-2025</t>
  </si>
  <si>
    <t>FIRMA CLIENTE 15-07-2025</t>
  </si>
  <si>
    <t>CAMBIO ARTEFACTOS</t>
  </si>
  <si>
    <t>FIRMADO 18-06-2025</t>
  </si>
  <si>
    <t>FIRMADA 08-04-2025</t>
  </si>
  <si>
    <t>REPARACION DE MUEBLE OK</t>
  </si>
  <si>
    <t>FIRMADA 22-05-2025</t>
  </si>
  <si>
    <t xml:space="preserve"> POR MANCHAS EN FRAGUE (CLEINTE SOLICITA PARA 25/7)</t>
  </si>
  <si>
    <t>FIRMADA 23-07-2025</t>
  </si>
  <si>
    <t>SIN FECHA DE ENTREGA</t>
  </si>
  <si>
    <t>FIRMADA 30-07-2025</t>
  </si>
  <si>
    <t>FIRMADA 05-12-2024</t>
  </si>
  <si>
    <t>FIRMADA 28-01-2025</t>
  </si>
  <si>
    <t>FIRMADA 22-01-2025</t>
  </si>
  <si>
    <t>FIRMADA 24-01-2025</t>
  </si>
  <si>
    <t>FIRMADA 29-11-2024</t>
  </si>
  <si>
    <t>FIRMADA 04-12-2024</t>
  </si>
  <si>
    <t>FIRMADA 14-05-2025</t>
  </si>
  <si>
    <t>REPARADO</t>
  </si>
  <si>
    <t>CON REVISOR INDEPENDIENTE</t>
  </si>
  <si>
    <t>SE ENTREGARA EL LUNES</t>
  </si>
  <si>
    <t>FIRMADA 30-05-2025</t>
  </si>
  <si>
    <t>FIRMA CLIENTE 24-07-2025</t>
  </si>
  <si>
    <t>RECHAZADO POR DESNIVEL CERAMICO</t>
  </si>
  <si>
    <t>FIRMADA 11-07-2025</t>
  </si>
  <si>
    <t>LISTO PARA ENTREGA</t>
  </si>
  <si>
    <t xml:space="preserve">EN PROCESO DE DETALLES MENORES </t>
  </si>
  <si>
    <t>FIRMADA 17-12-2024</t>
  </si>
  <si>
    <t>FIRMADA 06-07-2025</t>
  </si>
  <si>
    <t>FIRMADA 30-10-2024</t>
  </si>
  <si>
    <t>FIRMADA 05-11-2024</t>
  </si>
  <si>
    <t>PROCESO DE REMATES DE PINTURA</t>
  </si>
  <si>
    <t>CAMBIO DE CRISTALERS</t>
  </si>
  <si>
    <t>FIRMADA 02-10-2024</t>
  </si>
  <si>
    <t>EN PROCESO DE FRAGUADO</t>
  </si>
  <si>
    <t>ENVIARAN INFORME</t>
  </si>
  <si>
    <t>FIRMADO 07-07-2025</t>
  </si>
  <si>
    <t>FIRMADA 28-11-2024</t>
  </si>
  <si>
    <t>FIRMADA 22-11-2024</t>
  </si>
  <si>
    <t>FIRMADA 21-10-2024</t>
  </si>
  <si>
    <t>FIRMADA 16-12-2024</t>
  </si>
  <si>
    <t xml:space="preserve">CAMBIO DE CRISTALES </t>
  </si>
  <si>
    <t>RECHAZDO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</si>
</sst>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scheme val="minor"/>
    </font>
    <font>
      <sz val="9"/>
      <color theme="1"/>
      <name val="Calibri"/>
      <scheme val="minor"/>
    </font>
    <font>
      <b/>
      <sz val="9"/>
      <color rgb="FF000000"/>
      <name val="Calibri"/>
      <scheme val="minor"/>
    </font>
    <font>
      <b/>
      <sz val="9"/>
      <color theme="1"/>
      <name val="Calibri"/>
    </font>
    <font>
      <sz val="9"/>
      <color rgb="FF000000"/>
      <name val="Calibri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Aptos Narrow"/>
    </font>
    <font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8"/>
      <color rgb="FF000000"/>
      <name val="Aptos Narrow"/>
      <family val="2"/>
    </font>
    <font>
      <sz val="9"/>
      <color rgb="FF000000"/>
      <name val="Calibri"/>
      <charset val="1"/>
    </font>
    <font>
      <b/>
      <sz val="9"/>
      <color rgb="FF000000"/>
      <name val="Calibri"/>
      <family val="2"/>
      <scheme val="minor"/>
    </font>
    <font>
      <sz val="9"/>
      <color rgb="FF000000"/>
      <name val="Aptos Narrow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charset val="1"/>
    </font>
    <font>
      <u/>
      <sz val="9"/>
      <color theme="10"/>
      <name val="Calibri"/>
      <family val="2"/>
      <scheme val="minor"/>
    </font>
    <font>
      <sz val="9"/>
      <color rgb="FF242424"/>
      <name val="Calibri"/>
      <family val="2"/>
      <charset val="1"/>
    </font>
    <font>
      <sz val="9"/>
      <color theme="4"/>
      <name val="Calibri"/>
      <family val="2"/>
      <charset val="1"/>
    </font>
    <font>
      <sz val="11"/>
      <color rgb="FF0563C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9"/>
      <color rgb="FF000000"/>
      <name val="Aptos Narrow"/>
      <family val="2"/>
    </font>
    <font>
      <sz val="11"/>
      <color rgb="FF242424"/>
      <name val="Consolas"/>
      <charset val="1"/>
    </font>
    <font>
      <b/>
      <sz val="9"/>
      <name val="Aptos Narrow"/>
    </font>
    <font>
      <sz val="9"/>
      <color rgb="FF000000"/>
      <name val="Aptos Narrow"/>
    </font>
    <font>
      <sz val="9"/>
      <color rgb="FF006100"/>
      <name val="Aptos Narrow"/>
    </font>
    <font>
      <sz val="9"/>
      <color rgb="FF9C0006"/>
      <name val="Aptos Narrow"/>
    </font>
    <font>
      <sz val="9"/>
      <name val="Aptos Narrow"/>
    </font>
    <font>
      <sz val="9"/>
      <color theme="1"/>
      <name val="Aptos Narrow"/>
    </font>
    <font>
      <b/>
      <sz val="9"/>
      <color theme="1"/>
      <name val="Aptos Narrow"/>
    </font>
    <font>
      <b/>
      <sz val="12"/>
      <color rgb="FF000000"/>
      <name val="Aptos Narrow"/>
    </font>
    <font>
      <b/>
      <sz val="14"/>
      <color rgb="FF000000"/>
      <name val="Calibri"/>
      <scheme val="minor"/>
    </font>
    <font>
      <b/>
      <sz val="11"/>
      <color theme="1"/>
      <name val="Aptos Narrow"/>
    </font>
    <font>
      <sz val="9"/>
      <color rgb="FF242424"/>
      <name val="Calibri"/>
      <charset val="1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909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D2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5E6A2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BC2E6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  <diagonal/>
    </border>
    <border>
      <left style="thin">
        <color rgb="FF000000"/>
      </left>
      <right/>
      <top style="thin">
        <color rgb="FF44B3E1"/>
      </top>
      <bottom style="thin">
        <color rgb="FF000000"/>
      </bottom>
      <diagonal/>
    </border>
    <border>
      <left/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/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44B3E1"/>
      </top>
      <bottom/>
      <diagonal/>
    </border>
    <border>
      <left style="thin">
        <color rgb="FF000000"/>
      </left>
      <right/>
      <top style="thin">
        <color rgb="FF44B3E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1" fillId="0" borderId="0" applyNumberFormat="0" applyFill="0" applyBorder="0" applyAlignment="0" applyProtection="0"/>
  </cellStyleXfs>
  <cellXfs count="334">
    <xf numFmtId="0" fontId="0" fillId="0" borderId="0" xfId="0"/>
    <xf numFmtId="0" fontId="10" fillId="2" borderId="1" xfId="0" quotePrefix="1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9" fillId="8" borderId="2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10" fillId="2" borderId="6" xfId="0" quotePrefix="1" applyFont="1" applyFill="1" applyBorder="1" applyAlignment="1">
      <alignment horizontal="left"/>
    </xf>
    <xf numFmtId="0" fontId="10" fillId="2" borderId="6" xfId="0" quotePrefix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1" xfId="0" quotePrefix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" fontId="10" fillId="2" borderId="6" xfId="0" quotePrefix="1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0" fillId="2" borderId="8" xfId="0" quotePrefix="1" applyFont="1" applyFill="1" applyBorder="1" applyAlignment="1">
      <alignment horizontal="center"/>
    </xf>
    <xf numFmtId="0" fontId="16" fillId="18" borderId="1" xfId="0" applyFont="1" applyFill="1" applyBorder="1" applyAlignment="1">
      <alignment wrapText="1"/>
    </xf>
    <xf numFmtId="0" fontId="10" fillId="2" borderId="17" xfId="0" quotePrefix="1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shrinkToFit="1"/>
    </xf>
    <xf numFmtId="1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0" xfId="0" applyFont="1"/>
    <xf numFmtId="0" fontId="21" fillId="2" borderId="1" xfId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8" fillId="6" borderId="0" xfId="0" applyFont="1" applyFill="1"/>
    <xf numFmtId="0" fontId="25" fillId="6" borderId="0" xfId="0" applyFont="1" applyFill="1"/>
    <xf numFmtId="0" fontId="26" fillId="0" borderId="0" xfId="0" applyFont="1"/>
    <xf numFmtId="0" fontId="28" fillId="0" borderId="0" xfId="0" applyFont="1"/>
    <xf numFmtId="0" fontId="12" fillId="6" borderId="22" xfId="0" applyFont="1" applyFill="1" applyBorder="1"/>
    <xf numFmtId="0" fontId="18" fillId="0" borderId="0" xfId="0" applyFont="1"/>
    <xf numFmtId="0" fontId="29" fillId="21" borderId="2" xfId="0" applyFont="1" applyFill="1" applyBorder="1" applyAlignment="1">
      <alignment horizontal="center" wrapText="1"/>
    </xf>
    <xf numFmtId="0" fontId="29" fillId="21" borderId="4" xfId="0" applyFont="1" applyFill="1" applyBorder="1" applyAlignment="1">
      <alignment horizontal="center" wrapText="1"/>
    </xf>
    <xf numFmtId="0" fontId="29" fillId="21" borderId="1" xfId="0" applyFont="1" applyFill="1" applyBorder="1" applyAlignment="1">
      <alignment horizontal="center" wrapText="1"/>
    </xf>
    <xf numFmtId="0" fontId="29" fillId="21" borderId="11" xfId="0" applyFont="1" applyFill="1" applyBorder="1" applyAlignment="1">
      <alignment horizontal="center" wrapText="1"/>
    </xf>
    <xf numFmtId="0" fontId="29" fillId="21" borderId="5" xfId="0" applyFont="1" applyFill="1" applyBorder="1" applyAlignment="1">
      <alignment horizontal="center" wrapText="1"/>
    </xf>
    <xf numFmtId="0" fontId="12" fillId="21" borderId="2" xfId="0" applyFont="1" applyFill="1" applyBorder="1" applyAlignment="1">
      <alignment horizontal="center" wrapText="1"/>
    </xf>
    <xf numFmtId="0" fontId="12" fillId="21" borderId="4" xfId="0" applyFont="1" applyFill="1" applyBorder="1" applyAlignment="1">
      <alignment horizontal="center" wrapText="1"/>
    </xf>
    <xf numFmtId="0" fontId="12" fillId="21" borderId="1" xfId="0" applyFont="1" applyFill="1" applyBorder="1" applyAlignment="1">
      <alignment horizontal="center" wrapText="1"/>
    </xf>
    <xf numFmtId="0" fontId="30" fillId="6" borderId="33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1" fillId="22" borderId="1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14" fontId="30" fillId="6" borderId="35" xfId="0" applyNumberFormat="1" applyFont="1" applyFill="1" applyBorder="1" applyAlignment="1">
      <alignment horizontal="center"/>
    </xf>
    <xf numFmtId="0" fontId="30" fillId="6" borderId="36" xfId="0" applyFont="1" applyFill="1" applyBorder="1" applyAlignment="1">
      <alignment horizontal="center"/>
    </xf>
    <xf numFmtId="0" fontId="30" fillId="6" borderId="37" xfId="0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/>
    </xf>
    <xf numFmtId="0" fontId="18" fillId="20" borderId="21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18" fillId="6" borderId="27" xfId="0" applyFont="1" applyFill="1" applyBorder="1" applyAlignment="1">
      <alignment horizontal="center"/>
    </xf>
    <xf numFmtId="0" fontId="30" fillId="6" borderId="4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14" fontId="18" fillId="6" borderId="27" xfId="0" applyNumberFormat="1" applyFont="1" applyFill="1" applyBorder="1" applyAlignment="1">
      <alignment horizontal="center"/>
    </xf>
    <xf numFmtId="0" fontId="30" fillId="6" borderId="38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/>
    </xf>
    <xf numFmtId="0" fontId="18" fillId="20" borderId="15" xfId="0" applyFont="1" applyFill="1" applyBorder="1" applyAlignment="1">
      <alignment horizontal="center"/>
    </xf>
    <xf numFmtId="0" fontId="18" fillId="20" borderId="10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8" fillId="24" borderId="10" xfId="0" applyFont="1" applyFill="1" applyBorder="1" applyAlignment="1">
      <alignment horizontal="center"/>
    </xf>
    <xf numFmtId="14" fontId="18" fillId="0" borderId="27" xfId="0" applyNumberFormat="1" applyFont="1" applyBorder="1" applyAlignment="1">
      <alignment horizontal="center"/>
    </xf>
    <xf numFmtId="0" fontId="30" fillId="6" borderId="40" xfId="0" applyFont="1" applyFill="1" applyBorder="1" applyAlignment="1">
      <alignment horizontal="center"/>
    </xf>
    <xf numFmtId="0" fontId="18" fillId="25" borderId="15" xfId="0" applyFont="1" applyFill="1" applyBorder="1" applyAlignment="1">
      <alignment horizontal="center"/>
    </xf>
    <xf numFmtId="0" fontId="18" fillId="25" borderId="10" xfId="0" applyFont="1" applyFill="1" applyBorder="1" applyAlignment="1">
      <alignment horizontal="center"/>
    </xf>
    <xf numFmtId="0" fontId="30" fillId="6" borderId="9" xfId="0" applyFont="1" applyFill="1" applyBorder="1" applyAlignment="1">
      <alignment horizontal="center"/>
    </xf>
    <xf numFmtId="0" fontId="18" fillId="20" borderId="18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30" fillId="6" borderId="7" xfId="0" applyFont="1" applyFill="1" applyBorder="1" applyAlignment="1">
      <alignment horizontal="center"/>
    </xf>
    <xf numFmtId="0" fontId="30" fillId="26" borderId="34" xfId="0" applyFont="1" applyFill="1" applyBorder="1" applyAlignment="1">
      <alignment horizontal="center"/>
    </xf>
    <xf numFmtId="0" fontId="18" fillId="26" borderId="10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6" borderId="8" xfId="0" applyFont="1" applyFill="1" applyBorder="1" applyAlignment="1">
      <alignment horizontal="center"/>
    </xf>
    <xf numFmtId="0" fontId="30" fillId="25" borderId="18" xfId="0" applyFont="1" applyFill="1" applyBorder="1" applyAlignment="1">
      <alignment horizontal="center"/>
    </xf>
    <xf numFmtId="14" fontId="30" fillId="6" borderId="5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25" fillId="6" borderId="9" xfId="0" applyFont="1" applyFill="1" applyBorder="1" applyAlignment="1">
      <alignment horizontal="center"/>
    </xf>
    <xf numFmtId="0" fontId="30" fillId="6" borderId="6" xfId="0" applyFont="1" applyFill="1" applyBorder="1" applyAlignment="1">
      <alignment horizontal="center"/>
    </xf>
    <xf numFmtId="0" fontId="30" fillId="20" borderId="17" xfId="0" applyFont="1" applyFill="1" applyBorder="1" applyAlignment="1">
      <alignment horizontal="center"/>
    </xf>
    <xf numFmtId="0" fontId="30" fillId="6" borderId="5" xfId="0" applyFont="1" applyFill="1" applyBorder="1" applyAlignment="1">
      <alignment horizontal="center"/>
    </xf>
    <xf numFmtId="0" fontId="30" fillId="20" borderId="18" xfId="0" applyFont="1" applyFill="1" applyBorder="1" applyAlignment="1">
      <alignment horizontal="center"/>
    </xf>
    <xf numFmtId="0" fontId="30" fillId="26" borderId="18" xfId="0" applyFont="1" applyFill="1" applyBorder="1" applyAlignment="1">
      <alignment horizontal="center"/>
    </xf>
    <xf numFmtId="0" fontId="30" fillId="20" borderId="4" xfId="0" applyFont="1" applyFill="1" applyBorder="1" applyAlignment="1">
      <alignment horizontal="center"/>
    </xf>
    <xf numFmtId="14" fontId="30" fillId="6" borderId="43" xfId="0" applyNumberFormat="1" applyFont="1" applyFill="1" applyBorder="1" applyAlignment="1">
      <alignment horizontal="center"/>
    </xf>
    <xf numFmtId="0" fontId="30" fillId="20" borderId="12" xfId="0" applyFont="1" applyFill="1" applyBorder="1" applyAlignment="1">
      <alignment horizontal="center"/>
    </xf>
    <xf numFmtId="14" fontId="30" fillId="6" borderId="11" xfId="0" applyNumberFormat="1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14" fontId="30" fillId="6" borderId="14" xfId="0" applyNumberFormat="1" applyFont="1" applyFill="1" applyBorder="1" applyAlignment="1">
      <alignment horizontal="center"/>
    </xf>
    <xf numFmtId="0" fontId="30" fillId="20" borderId="22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6" borderId="44" xfId="0" applyFont="1" applyFill="1" applyBorder="1" applyAlignment="1">
      <alignment horizontal="center"/>
    </xf>
    <xf numFmtId="0" fontId="30" fillId="24" borderId="34" xfId="0" applyFont="1" applyFill="1" applyBorder="1" applyAlignment="1">
      <alignment horizontal="center"/>
    </xf>
    <xf numFmtId="0" fontId="30" fillId="25" borderId="12" xfId="0" applyFont="1" applyFill="1" applyBorder="1" applyAlignment="1">
      <alignment horizontal="center"/>
    </xf>
    <xf numFmtId="0" fontId="31" fillId="0" borderId="9" xfId="0" applyFont="1" applyBorder="1" applyAlignment="1">
      <alignment horizontal="center"/>
    </xf>
    <xf numFmtId="14" fontId="30" fillId="6" borderId="23" xfId="0" applyNumberFormat="1" applyFont="1" applyFill="1" applyBorder="1" applyAlignment="1">
      <alignment horizontal="center"/>
    </xf>
    <xf numFmtId="0" fontId="30" fillId="6" borderId="17" xfId="0" applyFont="1" applyFill="1" applyBorder="1" applyAlignment="1">
      <alignment horizontal="center"/>
    </xf>
    <xf numFmtId="0" fontId="31" fillId="22" borderId="18" xfId="0" applyFont="1" applyFill="1" applyBorder="1" applyAlignment="1">
      <alignment horizontal="center"/>
    </xf>
    <xf numFmtId="0" fontId="25" fillId="0" borderId="0" xfId="0" applyFont="1"/>
    <xf numFmtId="0" fontId="34" fillId="2" borderId="1" xfId="0" applyFont="1" applyFill="1" applyBorder="1" applyAlignment="1">
      <alignment horizontal="center"/>
    </xf>
    <xf numFmtId="14" fontId="10" fillId="27" borderId="6" xfId="0" applyNumberFormat="1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/>
    <xf numFmtId="0" fontId="8" fillId="0" borderId="0" xfId="0" applyFont="1"/>
    <xf numFmtId="0" fontId="12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6" borderId="4" xfId="0" applyFont="1" applyFill="1" applyBorder="1"/>
    <xf numFmtId="0" fontId="18" fillId="20" borderId="34" xfId="0" applyFont="1" applyFill="1" applyBorder="1" applyAlignment="1">
      <alignment horizontal="center"/>
    </xf>
    <xf numFmtId="0" fontId="30" fillId="20" borderId="10" xfId="0" applyFont="1" applyFill="1" applyBorder="1" applyAlignment="1">
      <alignment horizontal="center"/>
    </xf>
    <xf numFmtId="0" fontId="18" fillId="20" borderId="41" xfId="0" applyFont="1" applyFill="1" applyBorder="1" applyAlignment="1">
      <alignment horizontal="center"/>
    </xf>
    <xf numFmtId="0" fontId="30" fillId="26" borderId="10" xfId="0" applyFont="1" applyFill="1" applyBorder="1" applyAlignment="1">
      <alignment horizontal="center"/>
    </xf>
    <xf numFmtId="0" fontId="18" fillId="25" borderId="18" xfId="0" applyFont="1" applyFill="1" applyBorder="1" applyAlignment="1">
      <alignment horizontal="center"/>
    </xf>
    <xf numFmtId="0" fontId="18" fillId="25" borderId="34" xfId="0" applyFont="1" applyFill="1" applyBorder="1" applyAlignment="1">
      <alignment horizontal="center"/>
    </xf>
    <xf numFmtId="0" fontId="30" fillId="20" borderId="21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18" fillId="25" borderId="4" xfId="0" applyFont="1" applyFill="1" applyBorder="1" applyAlignment="1">
      <alignment horizontal="center"/>
    </xf>
    <xf numFmtId="0" fontId="18" fillId="24" borderId="18" xfId="0" applyFont="1" applyFill="1" applyBorder="1" applyAlignment="1">
      <alignment horizontal="center"/>
    </xf>
    <xf numFmtId="0" fontId="30" fillId="25" borderId="22" xfId="0" applyFont="1" applyFill="1" applyBorder="1" applyAlignment="1">
      <alignment horizontal="center"/>
    </xf>
    <xf numFmtId="0" fontId="30" fillId="23" borderId="10" xfId="0" applyFont="1" applyFill="1" applyBorder="1" applyAlignment="1">
      <alignment horizontal="center"/>
    </xf>
    <xf numFmtId="0" fontId="30" fillId="26" borderId="4" xfId="0" applyFont="1" applyFill="1" applyBorder="1" applyAlignment="1">
      <alignment horizontal="center"/>
    </xf>
    <xf numFmtId="0" fontId="30" fillId="25" borderId="4" xfId="0" applyFont="1" applyFill="1" applyBorder="1" applyAlignment="1">
      <alignment horizontal="center"/>
    </xf>
    <xf numFmtId="0" fontId="30" fillId="24" borderId="4" xfId="0" applyFont="1" applyFill="1" applyBorder="1" applyAlignment="1">
      <alignment horizontal="center"/>
    </xf>
    <xf numFmtId="0" fontId="30" fillId="25" borderId="45" xfId="0" applyFont="1" applyFill="1" applyBorder="1" applyAlignment="1">
      <alignment horizontal="center"/>
    </xf>
    <xf numFmtId="14" fontId="30" fillId="6" borderId="27" xfId="0" applyNumberFormat="1" applyFont="1" applyFill="1" applyBorder="1" applyAlignment="1">
      <alignment horizontal="center"/>
    </xf>
    <xf numFmtId="14" fontId="18" fillId="6" borderId="5" xfId="0" applyNumberFormat="1" applyFont="1" applyFill="1" applyBorder="1" applyAlignment="1">
      <alignment horizontal="center"/>
    </xf>
    <xf numFmtId="14" fontId="18" fillId="6" borderId="35" xfId="0" applyNumberFormat="1" applyFont="1" applyFill="1" applyBorder="1" applyAlignment="1">
      <alignment horizontal="center"/>
    </xf>
    <xf numFmtId="0" fontId="30" fillId="6" borderId="27" xfId="0" applyFont="1" applyFill="1" applyBorder="1" applyAlignment="1">
      <alignment horizontal="center"/>
    </xf>
    <xf numFmtId="14" fontId="8" fillId="0" borderId="5" xfId="0" applyNumberFormat="1" applyFont="1" applyBorder="1"/>
    <xf numFmtId="14" fontId="30" fillId="6" borderId="7" xfId="0" applyNumberFormat="1" applyFont="1" applyFill="1" applyBorder="1" applyAlignment="1">
      <alignment horizontal="center"/>
    </xf>
    <xf numFmtId="0" fontId="18" fillId="6" borderId="36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26" borderId="18" xfId="0" applyFont="1" applyFill="1" applyBorder="1" applyAlignment="1">
      <alignment horizontal="center"/>
    </xf>
    <xf numFmtId="0" fontId="30" fillId="26" borderId="39" xfId="0" applyFont="1" applyFill="1" applyBorder="1" applyAlignment="1">
      <alignment horizontal="center"/>
    </xf>
    <xf numFmtId="0" fontId="18" fillId="20" borderId="0" xfId="0" applyFont="1" applyFill="1" applyAlignment="1">
      <alignment horizontal="center"/>
    </xf>
    <xf numFmtId="0" fontId="18" fillId="26" borderId="37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30" fillId="6" borderId="39" xfId="0" applyFont="1" applyFill="1" applyBorder="1" applyAlignment="1">
      <alignment horizontal="center"/>
    </xf>
    <xf numFmtId="0" fontId="18" fillId="23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18" borderId="1" xfId="1" applyFill="1" applyBorder="1" applyAlignment="1">
      <alignment horizontal="center" vertical="center" wrapText="1"/>
    </xf>
    <xf numFmtId="0" fontId="31" fillId="22" borderId="9" xfId="0" applyFont="1" applyFill="1" applyBorder="1" applyAlignment="1">
      <alignment horizontal="center"/>
    </xf>
    <xf numFmtId="0" fontId="8" fillId="0" borderId="13" xfId="0" applyFont="1" applyBorder="1"/>
    <xf numFmtId="14" fontId="30" fillId="6" borderId="9" xfId="0" applyNumberFormat="1" applyFont="1" applyFill="1" applyBorder="1" applyAlignment="1">
      <alignment horizontal="center"/>
    </xf>
    <xf numFmtId="0" fontId="27" fillId="0" borderId="0" xfId="0" applyFont="1"/>
    <xf numFmtId="0" fontId="30" fillId="6" borderId="11" xfId="0" applyFont="1" applyFill="1" applyBorder="1" applyAlignment="1">
      <alignment horizontal="center"/>
    </xf>
    <xf numFmtId="0" fontId="30" fillId="6" borderId="13" xfId="0" applyFont="1" applyFill="1" applyBorder="1" applyAlignment="1">
      <alignment horizontal="center"/>
    </xf>
    <xf numFmtId="0" fontId="30" fillId="6" borderId="0" xfId="0" applyFont="1" applyFill="1" applyAlignment="1">
      <alignment horizontal="center"/>
    </xf>
    <xf numFmtId="14" fontId="30" fillId="6" borderId="3" xfId="0" applyNumberFormat="1" applyFont="1" applyFill="1" applyBorder="1" applyAlignment="1">
      <alignment horizontal="center"/>
    </xf>
    <xf numFmtId="0" fontId="25" fillId="6" borderId="11" xfId="0" applyFont="1" applyFill="1" applyBorder="1" applyAlignment="1">
      <alignment horizontal="center"/>
    </xf>
    <xf numFmtId="0" fontId="30" fillId="6" borderId="28" xfId="0" applyFont="1" applyFill="1" applyBorder="1" applyAlignment="1">
      <alignment horizontal="center"/>
    </xf>
    <xf numFmtId="0" fontId="18" fillId="6" borderId="28" xfId="0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30" fillId="6" borderId="24" xfId="0" applyFont="1" applyFill="1" applyBorder="1" applyAlignment="1">
      <alignment horizontal="center"/>
    </xf>
    <xf numFmtId="0" fontId="30" fillId="27" borderId="1" xfId="0" applyFont="1" applyFill="1" applyBorder="1" applyAlignment="1">
      <alignment horizontal="center"/>
    </xf>
    <xf numFmtId="0" fontId="33" fillId="27" borderId="1" xfId="0" applyFont="1" applyFill="1" applyBorder="1" applyAlignment="1">
      <alignment horizontal="center"/>
    </xf>
    <xf numFmtId="0" fontId="12" fillId="30" borderId="0" xfId="0" applyFont="1" applyFill="1" applyAlignment="1">
      <alignment horizontal="center" wrapText="1"/>
    </xf>
    <xf numFmtId="0" fontId="30" fillId="29" borderId="1" xfId="0" applyFont="1" applyFill="1" applyBorder="1" applyAlignment="1">
      <alignment horizontal="center"/>
    </xf>
    <xf numFmtId="0" fontId="18" fillId="29" borderId="1" xfId="0" applyFont="1" applyFill="1" applyBorder="1" applyAlignment="1">
      <alignment horizontal="center"/>
    </xf>
    <xf numFmtId="0" fontId="10" fillId="14" borderId="18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/>
    </xf>
    <xf numFmtId="0" fontId="32" fillId="4" borderId="18" xfId="0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/>
    </xf>
    <xf numFmtId="0" fontId="30" fillId="20" borderId="26" xfId="0" applyFont="1" applyFill="1" applyBorder="1" applyAlignment="1">
      <alignment horizontal="center"/>
    </xf>
    <xf numFmtId="0" fontId="34" fillId="27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30" fillId="27" borderId="18" xfId="0" applyFont="1" applyFill="1" applyBorder="1" applyAlignment="1">
      <alignment horizontal="center"/>
    </xf>
    <xf numFmtId="0" fontId="11" fillId="27" borderId="6" xfId="0" applyFont="1" applyFill="1" applyBorder="1" applyAlignment="1">
      <alignment horizontal="left"/>
    </xf>
    <xf numFmtId="0" fontId="34" fillId="2" borderId="6" xfId="0" applyFont="1" applyFill="1" applyBorder="1" applyAlignment="1">
      <alignment horizontal="center"/>
    </xf>
    <xf numFmtId="0" fontId="34" fillId="27" borderId="1" xfId="0" applyFont="1" applyFill="1" applyBorder="1" applyAlignment="1">
      <alignment horizontal="center"/>
    </xf>
    <xf numFmtId="0" fontId="8" fillId="17" borderId="2" xfId="0" applyFont="1" applyFill="1" applyBorder="1"/>
    <xf numFmtId="0" fontId="14" fillId="2" borderId="0" xfId="0" applyFont="1" applyFill="1" applyAlignment="1">
      <alignment horizontal="center" vertical="center"/>
    </xf>
    <xf numFmtId="0" fontId="34" fillId="2" borderId="6" xfId="0" quotePrefix="1" applyFont="1" applyFill="1" applyBorder="1" applyAlignment="1">
      <alignment horizontal="center" vertical="center"/>
    </xf>
    <xf numFmtId="0" fontId="9" fillId="31" borderId="7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2" fillId="11" borderId="1" xfId="0" applyFont="1" applyFill="1" applyBorder="1"/>
    <xf numFmtId="0" fontId="12" fillId="12" borderId="1" xfId="0" applyFont="1" applyFill="1" applyBorder="1"/>
    <xf numFmtId="0" fontId="34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14" borderId="18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1" fontId="10" fillId="2" borderId="1" xfId="0" quotePrefix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0" fillId="2" borderId="1" xfId="0" quotePrefix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21" fillId="2" borderId="9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35" fillId="27" borderId="2" xfId="0" applyFont="1" applyFill="1" applyBorder="1" applyAlignment="1">
      <alignment horizontal="left"/>
    </xf>
    <xf numFmtId="0" fontId="30" fillId="6" borderId="12" xfId="0" applyFont="1" applyFill="1" applyBorder="1" applyAlignment="1">
      <alignment horizontal="center"/>
    </xf>
    <xf numFmtId="0" fontId="18" fillId="27" borderId="11" xfId="0" applyFont="1" applyFill="1" applyBorder="1" applyAlignment="1">
      <alignment horizontal="center"/>
    </xf>
    <xf numFmtId="0" fontId="30" fillId="26" borderId="0" xfId="0" applyFont="1" applyFill="1" applyAlignment="1">
      <alignment horizontal="center"/>
    </xf>
    <xf numFmtId="0" fontId="20" fillId="18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vertical="center"/>
    </xf>
    <xf numFmtId="0" fontId="32" fillId="27" borderId="1" xfId="0" applyFont="1" applyFill="1" applyBorder="1" applyAlignment="1">
      <alignment horizontal="center"/>
    </xf>
    <xf numFmtId="0" fontId="1" fillId="18" borderId="1" xfId="1" applyFill="1" applyBorder="1" applyAlignment="1">
      <alignment horizontal="center" wrapText="1"/>
    </xf>
    <xf numFmtId="0" fontId="34" fillId="5" borderId="1" xfId="0" applyFont="1" applyFill="1" applyBorder="1" applyAlignment="1">
      <alignment horizontal="center" vertical="center"/>
    </xf>
    <xf numFmtId="0" fontId="10" fillId="29" borderId="6" xfId="0" applyFont="1" applyFill="1" applyBorder="1" applyAlignment="1">
      <alignment horizontal="center"/>
    </xf>
    <xf numFmtId="0" fontId="10" fillId="29" borderId="17" xfId="0" applyFont="1" applyFill="1" applyBorder="1" applyAlignment="1">
      <alignment horizontal="center"/>
    </xf>
    <xf numFmtId="14" fontId="10" fillId="29" borderId="6" xfId="0" applyNumberFormat="1" applyFont="1" applyFill="1" applyBorder="1" applyAlignment="1">
      <alignment horizontal="center"/>
    </xf>
    <xf numFmtId="0" fontId="35" fillId="29" borderId="2" xfId="0" applyFont="1" applyFill="1" applyBorder="1" applyAlignment="1">
      <alignment horizontal="left"/>
    </xf>
    <xf numFmtId="0" fontId="11" fillId="29" borderId="6" xfId="0" applyFont="1" applyFill="1" applyBorder="1" applyAlignment="1">
      <alignment horizontal="left"/>
    </xf>
    <xf numFmtId="0" fontId="12" fillId="32" borderId="1" xfId="0" applyFont="1" applyFill="1" applyBorder="1"/>
    <xf numFmtId="14" fontId="30" fillId="6" borderId="1" xfId="0" applyNumberFormat="1" applyFont="1" applyFill="1" applyBorder="1" applyAlignment="1">
      <alignment horizontal="center"/>
    </xf>
    <xf numFmtId="0" fontId="20" fillId="18" borderId="1" xfId="0" applyFont="1" applyFill="1" applyBorder="1" applyAlignment="1">
      <alignment wrapText="1"/>
    </xf>
    <xf numFmtId="0" fontId="1" fillId="18" borderId="1" xfId="3" applyFill="1" applyBorder="1" applyAlignment="1">
      <alignment horizontal="center" wrapText="1"/>
    </xf>
    <xf numFmtId="0" fontId="30" fillId="27" borderId="11" xfId="0" applyFont="1" applyFill="1" applyBorder="1" applyAlignment="1">
      <alignment horizontal="center"/>
    </xf>
    <xf numFmtId="0" fontId="35" fillId="27" borderId="6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wrapText="1"/>
    </xf>
    <xf numFmtId="14" fontId="30" fillId="0" borderId="3" xfId="0" applyNumberFormat="1" applyFont="1" applyBorder="1" applyAlignment="1">
      <alignment horizontal="center"/>
    </xf>
    <xf numFmtId="0" fontId="1" fillId="18" borderId="1" xfId="3" applyFill="1" applyBorder="1" applyAlignment="1">
      <alignment wrapText="1"/>
    </xf>
    <xf numFmtId="0" fontId="16" fillId="18" borderId="1" xfId="0" applyFont="1" applyFill="1" applyBorder="1" applyAlignment="1">
      <alignment horizontal="center" wrapText="1"/>
    </xf>
    <xf numFmtId="0" fontId="5" fillId="2" borderId="1" xfId="0" quotePrefix="1" applyFont="1" applyFill="1" applyBorder="1" applyAlignment="1">
      <alignment horizontal="center" vertical="center"/>
    </xf>
    <xf numFmtId="0" fontId="10" fillId="27" borderId="6" xfId="0" applyFont="1" applyFill="1" applyBorder="1" applyAlignment="1">
      <alignment horizontal="left"/>
    </xf>
    <xf numFmtId="0" fontId="10" fillId="2" borderId="1" xfId="0" applyFont="1" applyFill="1" applyBorder="1"/>
    <xf numFmtId="0" fontId="10" fillId="2" borderId="9" xfId="0" applyFont="1" applyFill="1" applyBorder="1" applyAlignment="1">
      <alignment horizontal="center"/>
    </xf>
    <xf numFmtId="14" fontId="10" fillId="2" borderId="9" xfId="0" applyNumberFormat="1" applyFont="1" applyFill="1" applyBorder="1" applyAlignment="1">
      <alignment horizontal="center"/>
    </xf>
    <xf numFmtId="0" fontId="18" fillId="19" borderId="1" xfId="0" applyFont="1" applyFill="1" applyBorder="1" applyAlignment="1">
      <alignment horizontal="left" vertical="center"/>
    </xf>
    <xf numFmtId="0" fontId="18" fillId="19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" fillId="2" borderId="1" xfId="3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1" xfId="0" quotePrefix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34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 wrapText="1"/>
    </xf>
    <xf numFmtId="0" fontId="40" fillId="8" borderId="8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/>
    </xf>
    <xf numFmtId="0" fontId="10" fillId="2" borderId="9" xfId="0" applyFont="1" applyFill="1" applyBorder="1"/>
    <xf numFmtId="0" fontId="9" fillId="8" borderId="25" xfId="0" applyFont="1" applyFill="1" applyBorder="1" applyAlignment="1">
      <alignment horizontal="center" vertical="center" wrapText="1"/>
    </xf>
    <xf numFmtId="1" fontId="10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/>
    </xf>
    <xf numFmtId="0" fontId="34" fillId="2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2" borderId="18" xfId="0" applyFont="1" applyFill="1" applyBorder="1"/>
    <xf numFmtId="0" fontId="10" fillId="2" borderId="12" xfId="0" applyFont="1" applyFill="1" applyBorder="1"/>
    <xf numFmtId="0" fontId="34" fillId="7" borderId="22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1" xfId="0" quotePrefix="1" applyFont="1" applyFill="1" applyBorder="1" applyAlignment="1">
      <alignment horizontal="center"/>
    </xf>
    <xf numFmtId="0" fontId="10" fillId="2" borderId="9" xfId="0" quotePrefix="1" applyFont="1" applyFill="1" applyBorder="1" applyAlignment="1">
      <alignment horizontal="left" vertical="center"/>
    </xf>
    <xf numFmtId="0" fontId="10" fillId="2" borderId="9" xfId="0" quotePrefix="1" applyFont="1" applyFill="1" applyBorder="1" applyAlignment="1">
      <alignment horizontal="center" vertical="center"/>
    </xf>
    <xf numFmtId="0" fontId="10" fillId="2" borderId="9" xfId="0" quotePrefix="1" applyFont="1" applyFill="1" applyBorder="1" applyAlignment="1">
      <alignment horizontal="center"/>
    </xf>
    <xf numFmtId="0" fontId="20" fillId="18" borderId="8" xfId="0" applyFont="1" applyFill="1" applyBorder="1" applyAlignment="1">
      <alignment wrapText="1"/>
    </xf>
    <xf numFmtId="0" fontId="20" fillId="18" borderId="8" xfId="0" applyFont="1" applyFill="1" applyBorder="1" applyAlignment="1">
      <alignment horizontal="center" wrapText="1"/>
    </xf>
    <xf numFmtId="0" fontId="1" fillId="2" borderId="8" xfId="1" applyFill="1" applyBorder="1" applyAlignment="1">
      <alignment horizontal="center" vertical="center"/>
    </xf>
    <xf numFmtId="0" fontId="39" fillId="18" borderId="9" xfId="0" applyFont="1" applyFill="1" applyBorder="1" applyAlignment="1">
      <alignment horizontal="left" vertical="center"/>
    </xf>
    <xf numFmtId="0" fontId="16" fillId="18" borderId="9" xfId="0" applyFont="1" applyFill="1" applyBorder="1" applyAlignment="1">
      <alignment horizontal="center" vertical="center" wrapText="1"/>
    </xf>
    <xf numFmtId="0" fontId="1" fillId="18" borderId="9" xfId="1" applyFill="1" applyBorder="1" applyAlignment="1">
      <alignment horizontal="center" vertical="center" wrapText="1"/>
    </xf>
    <xf numFmtId="0" fontId="10" fillId="2" borderId="8" xfId="0" quotePrefix="1" applyFont="1" applyFill="1" applyBorder="1" applyAlignment="1">
      <alignment horizontal="left" vertical="center"/>
    </xf>
    <xf numFmtId="0" fontId="10" fillId="2" borderId="8" xfId="0" quotePrefix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0" fontId="20" fillId="18" borderId="9" xfId="0" applyFont="1" applyFill="1" applyBorder="1" applyAlignment="1">
      <alignment wrapText="1"/>
    </xf>
    <xf numFmtId="0" fontId="20" fillId="18" borderId="9" xfId="0" applyFont="1" applyFill="1" applyBorder="1" applyAlignment="1">
      <alignment horizontal="center" wrapText="1"/>
    </xf>
    <xf numFmtId="0" fontId="21" fillId="2" borderId="9" xfId="0" applyFont="1" applyFill="1" applyBorder="1" applyAlignment="1">
      <alignment horizontal="center" vertical="center"/>
    </xf>
    <xf numFmtId="14" fontId="10" fillId="28" borderId="6" xfId="0" applyNumberFormat="1" applyFont="1" applyFill="1" applyBorder="1" applyAlignment="1">
      <alignment horizontal="center"/>
    </xf>
    <xf numFmtId="0" fontId="10" fillId="28" borderId="17" xfId="0" applyFont="1" applyFill="1" applyBorder="1" applyAlignment="1">
      <alignment horizontal="center"/>
    </xf>
    <xf numFmtId="0" fontId="10" fillId="28" borderId="6" xfId="0" applyFont="1" applyFill="1" applyBorder="1" applyAlignment="1">
      <alignment horizontal="left"/>
    </xf>
    <xf numFmtId="0" fontId="20" fillId="18" borderId="1" xfId="0" applyFont="1" applyFill="1" applyBorder="1" applyAlignment="1">
      <alignment horizontal="left" wrapText="1"/>
    </xf>
    <xf numFmtId="1" fontId="10" fillId="2" borderId="9" xfId="0" quotePrefix="1" applyNumberFormat="1" applyFont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1" fontId="10" fillId="2" borderId="8" xfId="0" quotePrefix="1" applyNumberFormat="1" applyFont="1" applyFill="1" applyBorder="1" applyAlignment="1">
      <alignment horizontal="center" vertical="center"/>
    </xf>
    <xf numFmtId="0" fontId="35" fillId="28" borderId="2" xfId="0" applyFont="1" applyFill="1" applyBorder="1" applyAlignment="1">
      <alignment horizontal="left"/>
    </xf>
    <xf numFmtId="0" fontId="1" fillId="18" borderId="9" xfId="3" applyFill="1" applyBorder="1" applyAlignment="1">
      <alignment horizontal="center" wrapText="1"/>
    </xf>
    <xf numFmtId="0" fontId="34" fillId="7" borderId="1" xfId="0" applyFont="1" applyFill="1" applyBorder="1" applyAlignment="1">
      <alignment horizontal="center" vertical="center"/>
    </xf>
    <xf numFmtId="14" fontId="10" fillId="2" borderId="6" xfId="0" applyNumberFormat="1" applyFont="1" applyFill="1" applyBorder="1" applyAlignment="1">
      <alignment horizontal="left"/>
    </xf>
    <xf numFmtId="0" fontId="34" fillId="2" borderId="1" xfId="0" quotePrefix="1" applyFont="1" applyFill="1" applyBorder="1" applyAlignment="1">
      <alignment horizontal="center" vertical="center"/>
    </xf>
    <xf numFmtId="0" fontId="34" fillId="2" borderId="1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/>
    </xf>
    <xf numFmtId="0" fontId="36" fillId="13" borderId="31" xfId="0" applyFont="1" applyFill="1" applyBorder="1" applyAlignment="1">
      <alignment horizontal="center" vertical="center"/>
    </xf>
    <xf numFmtId="0" fontId="36" fillId="13" borderId="32" xfId="0" applyFont="1" applyFill="1" applyBorder="1" applyAlignment="1">
      <alignment horizontal="center" vertical="center"/>
    </xf>
    <xf numFmtId="0" fontId="36" fillId="13" borderId="46" xfId="0" applyFont="1" applyFill="1" applyBorder="1" applyAlignment="1">
      <alignment horizontal="center" vertical="center"/>
    </xf>
    <xf numFmtId="0" fontId="36" fillId="13" borderId="47" xfId="0" applyFont="1" applyFill="1" applyBorder="1" applyAlignment="1">
      <alignment horizontal="center" vertical="center"/>
    </xf>
    <xf numFmtId="0" fontId="36" fillId="13" borderId="29" xfId="0" applyFont="1" applyFill="1" applyBorder="1" applyAlignment="1">
      <alignment horizontal="center" vertical="center"/>
    </xf>
    <xf numFmtId="0" fontId="36" fillId="13" borderId="30" xfId="0" applyFont="1" applyFill="1" applyBorder="1" applyAlignment="1">
      <alignment horizontal="center" vertical="center"/>
    </xf>
    <xf numFmtId="0" fontId="3" fillId="27" borderId="17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top"/>
    </xf>
    <xf numFmtId="0" fontId="30" fillId="25" borderId="19" xfId="0" applyFont="1" applyFill="1" applyBorder="1" applyAlignment="1">
      <alignment horizontal="center"/>
    </xf>
    <xf numFmtId="0" fontId="32" fillId="29" borderId="18" xfId="0" applyFont="1" applyFill="1" applyBorder="1" applyAlignment="1">
      <alignment horizontal="center"/>
    </xf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1F0FAC71-FEF8-4928-BA36-DEAFA21B0F26}"/>
  </cellStyles>
  <dxfs count="5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rgb="FF000000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segmentación de datos 1" pivot="0" table="0" count="0" xr9:uid="{E72F1601-496E-452C-AA7D-6B059146F34A}"/>
  </tableStyles>
  <colors>
    <mruColors>
      <color rgb="FFFFC7CE"/>
      <color rgb="FF9BC2E6"/>
      <color rgb="FFFFEB9C"/>
      <color rgb="FFC6EFCE"/>
      <color rgb="FFFF8C9A"/>
      <color rgb="FFFED2D2"/>
      <color rgb="FFFF7C8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2</xdr:col>
      <xdr:colOff>133350</xdr:colOff>
      <xdr:row>4</xdr:row>
      <xdr:rowOff>85725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1B75F486-9D89-4575-BCEB-A43546FD8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52400"/>
          <a:ext cx="1162050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110362</xdr:rowOff>
    </xdr:from>
    <xdr:to>
      <xdr:col>1</xdr:col>
      <xdr:colOff>686763</xdr:colOff>
      <xdr:row>3</xdr:row>
      <xdr:rowOff>152377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D816AA-E333-4110-AFC3-325FD493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10362"/>
          <a:ext cx="808683" cy="499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7D628-84D5-4B9D-84F3-988CE5CABE68}" name="SOLICITUD_POSTV2" displayName="SOLICITUD_POSTV2" ref="B7:R32" totalsRowShown="0" headerRowDxfId="51" dataDxfId="49" headerRowBorderDxfId="50" tableBorderDxfId="48" totalsRowBorderDxfId="47">
  <autoFilter ref="B7:R32" xr:uid="{FC97D628-84D5-4B9D-84F3-988CE5CABE68}"/>
  <tableColumns count="17">
    <tableColumn id="1" xr3:uid="{7B2F7B26-93F2-4FB0-99A1-3BF22454F69B}" name="N° REQ" dataDxfId="46">
      <calculatedColumnFormula>ROW() - ROW(SOLICITUD_POSTV2[[#Headers],[N° REQ]]) - 1</calculatedColumnFormula>
    </tableColumn>
    <tableColumn id="2" xr3:uid="{CD400C5F-D456-4039-B7E3-0389972A177C}" name="CLIENTE" dataDxfId="45"/>
    <tableColumn id="3" xr3:uid="{8AAD2E55-20D2-42CE-AE6B-F8308816891F}" name="RUT" dataDxfId="44"/>
    <tableColumn id="4" xr3:uid="{4EED34EF-5440-4FB5-812D-1D94B4A19925}" name="N° TELEFONICO" dataDxfId="43"/>
    <tableColumn id="5" xr3:uid="{D144ACBE-5D71-4102-BEE4-54C84FCBCA15}" name="N° TORRE" dataDxfId="42"/>
    <tableColumn id="6" xr3:uid="{AEA7A5BF-0F87-4DEE-8C63-88E431469E80}" name="N° DEPARTAMENTO" dataDxfId="41"/>
    <tableColumn id="7" xr3:uid="{8BB7B533-9464-4C4D-A2B9-28545024978E}" name="TIPO DEPARTAMENTO" dataDxfId="40"/>
    <tableColumn id="18" xr3:uid="{5BB8021E-55C7-4160-B129-5662A9D5EC8D}" name="Medio de Recepción" dataDxfId="39"/>
    <tableColumn id="8" xr3:uid="{5D9C3064-625C-47B4-99EE-7001E024D25C}" name="ESPECIALIDAD" dataDxfId="38"/>
    <tableColumn id="9" xr3:uid="{622B69F6-026B-4A65-A83F-9AA837AEE689}" name="OBSERVACION" dataDxfId="37"/>
    <tableColumn id="10" xr3:uid="{D423D668-78E9-4055-BA5B-3F0105CEA508}" name="ESTADO " dataDxfId="36"/>
    <tableColumn id="11" xr3:uid="{6F1214B2-6641-4DCF-B4A7-4FBA5B53B42E}" name="PROGRAMACION" dataDxfId="35"/>
    <tableColumn id="12" xr3:uid="{079B55A2-0C6A-4329-BF68-E782AC7D154A}" name="FECHA REQUERIMIENTO" dataDxfId="34"/>
    <tableColumn id="13" xr3:uid="{C3A031AD-E28D-4515-88FC-31FF10DA605E}" name="FECHA PROGRAMACION" dataDxfId="33"/>
    <tableColumn id="14" xr3:uid="{AC904444-DBF9-41F5-B377-8F305D9819FF}" name="FECHA CIERRE" dataDxfId="32"/>
    <tableColumn id="15" xr3:uid="{07561A98-6081-497A-93D2-041F6CFE1CBE}" name="N° ACTA " dataDxfId="31"/>
    <tableColumn id="16" xr3:uid="{FB0E2529-5F28-44F9-98EC-F6496B8EA226}" name="DESCUENTO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A8CF08-3B46-4E88-A854-B1CC6D1EF816}" name="BASE_DATOS" displayName="BASE_DATOS" ref="B6:R207" totalsRowShown="0" headerRowDxfId="29" headerRowBorderDxfId="28" tableBorderDxfId="27" totalsRowBorderDxfId="26">
  <autoFilter ref="B6:R207" xr:uid="{3DA8CF08-3B46-4E88-A854-B1CC6D1EF816}"/>
  <sortState xmlns:xlrd2="http://schemas.microsoft.com/office/spreadsheetml/2017/richdata2" ref="B7:R207">
    <sortCondition ref="J6:J207"/>
  </sortState>
  <tableColumns count="17">
    <tableColumn id="1" xr3:uid="{B3DE20CD-0A50-4664-A986-3D840F097B6F}" name="N°" dataDxfId="25"/>
    <tableColumn id="2" xr3:uid="{11FF3EF0-D568-4231-A6F8-443271018760}" name="Cliente" dataDxfId="24"/>
    <tableColumn id="3" xr3:uid="{217895FE-9218-4AE7-ADC6-C9BE695927DA}" name="RUT" dataDxfId="23"/>
    <tableColumn id="4" xr3:uid="{EFF04FFA-B11F-4DBC-9F1B-EE798D0324E9}" name="N° TELEFONICO 01" dataDxfId="22"/>
    <tableColumn id="5" xr3:uid="{9AD7E650-E990-4A79-AD9D-66470B2EB84D}" name="N° TELEFONICO 02" dataDxfId="21"/>
    <tableColumn id="6" xr3:uid="{CAD5052D-1CAC-4FF4-8D44-60B372FCB8F2}" name="CORREO" dataDxfId="20"/>
    <tableColumn id="7" xr3:uid="{A1AB2330-5D51-4DFF-9DC2-95809DE89D20}" name="CONDOMINIO" dataDxfId="19"/>
    <tableColumn id="8" xr3:uid="{435EB352-44D1-4422-8061-B70E21F70515}" name="N° TORRE" dataDxfId="18"/>
    <tableColumn id="9" xr3:uid="{91DEC7EC-7778-4D2E-A79F-ED0874704BB4}" name="N° DEPARTAMENTO" dataDxfId="17"/>
    <tableColumn id="10" xr3:uid="{980C7032-E393-4DF4-A780-D3A7F47F7ED9}" name="TIPO DEPARTAMENTO" dataDxfId="16"/>
    <tableColumn id="11" xr3:uid="{87D5F220-8CF0-4F1A-A4FB-708086BEBF86}" name="ESTADO " dataDxfId="15"/>
    <tableColumn id="12" xr3:uid="{918EE0A0-C614-42B6-A94F-A997D229B3AF}" name="FECHA DE ENTREGA" dataDxfId="14"/>
    <tableColumn id="13" xr3:uid="{029CDA60-DA89-41C4-96AC-1E688C7C4BA8}" name="FECHA ACTUAL" dataDxfId="13">
      <calculatedColumnFormula>+TODAY()</calculatedColumnFormula>
    </tableColumn>
    <tableColumn id="14" xr3:uid="{B1C17815-5791-4D9C-BF9A-F01AABF3F001}" name="GARANTIA TERMINACIONES (3 AÑOS)" dataDxfId="12"/>
    <tableColumn id="15" xr3:uid="{DDFF8975-1980-4A3E-8C44-40B744101463}" name="ESTADO GARANTIA TERMINACIONES" dataDxfId="11"/>
    <tableColumn id="16" xr3:uid="{2C88F149-B65D-4B8C-A084-0219D98B9915}" name="GARANTIA INSTALACIONES (5 AÑOS)" dataDxfId="10">
      <calculatedColumnFormula>+((M7-M7)/365)</calculatedColumnFormula>
    </tableColumn>
    <tableColumn id="17" xr3:uid="{5043B71C-B6BF-4B73-8458-80A9006A5530}" name="ESTADO GARANTIA INSTALACION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BY.VALLEJOS25@GMAIL.COM" TargetMode="External"/><Relationship Id="rId21" Type="http://schemas.openxmlformats.org/officeDocument/2006/relationships/hyperlink" Target="mailto:ANDBASTIAS@UTALCA.CL" TargetMode="External"/><Relationship Id="rId42" Type="http://schemas.openxmlformats.org/officeDocument/2006/relationships/hyperlink" Target="mailto:ELIZABETH.MARABOLI.AVALOS@GMAIL.COM" TargetMode="External"/><Relationship Id="rId63" Type="http://schemas.openxmlformats.org/officeDocument/2006/relationships/hyperlink" Target="mailto:PILIRAMOSVASQUEZ1988@GMAIL.COM" TargetMode="External"/><Relationship Id="rId84" Type="http://schemas.openxmlformats.org/officeDocument/2006/relationships/hyperlink" Target="mailto:HERRERAFARIAS@GMAIL.COM" TargetMode="External"/><Relationship Id="rId138" Type="http://schemas.openxmlformats.org/officeDocument/2006/relationships/hyperlink" Target="mailto:gracielanunezt@gmail.com" TargetMode="External"/><Relationship Id="rId159" Type="http://schemas.openxmlformats.org/officeDocument/2006/relationships/hyperlink" Target="mailto:PATRICIO.GONZA%C3%91LEZ.QUEVEDO@GMAIL.COM" TargetMode="External"/><Relationship Id="rId170" Type="http://schemas.openxmlformats.org/officeDocument/2006/relationships/hyperlink" Target="mailto:S.ALCANTAR@HOTMAIL.ES" TargetMode="External"/><Relationship Id="rId107" Type="http://schemas.openxmlformats.org/officeDocument/2006/relationships/hyperlink" Target="mailto:JAVERDUGO2@GMAIL.COM" TargetMode="External"/><Relationship Id="rId11" Type="http://schemas.openxmlformats.org/officeDocument/2006/relationships/hyperlink" Target="mailto:VEROSEPUL.CANDIA@GMAIL.COM" TargetMode="External"/><Relationship Id="rId32" Type="http://schemas.openxmlformats.org/officeDocument/2006/relationships/hyperlink" Target="mailto:NASEPULVEDA.ARAYA@GMAIL.COM" TargetMode="External"/><Relationship Id="rId53" Type="http://schemas.openxmlformats.org/officeDocument/2006/relationships/hyperlink" Target="mailto:KEINERJP@HOTMAIL.COM" TargetMode="External"/><Relationship Id="rId74" Type="http://schemas.openxmlformats.org/officeDocument/2006/relationships/hyperlink" Target="mailto:NBERRIOSMUNOZ@GMAIL.COM" TargetMode="External"/><Relationship Id="rId128" Type="http://schemas.openxmlformats.org/officeDocument/2006/relationships/hyperlink" Target="mailto:dgonzalez.cgo@gmail.com" TargetMode="External"/><Relationship Id="rId149" Type="http://schemas.openxmlformats.org/officeDocument/2006/relationships/hyperlink" Target="mailto:MARIOLGAETE@GMAIL.COM" TargetMode="External"/><Relationship Id="rId5" Type="http://schemas.openxmlformats.org/officeDocument/2006/relationships/hyperlink" Target="mailto:CABRERACANALES99@GMAIL.COM" TargetMode="External"/><Relationship Id="rId95" Type="http://schemas.openxmlformats.org/officeDocument/2006/relationships/hyperlink" Target="mailto:CLAUDIAROJAS1395@HOTMAIL.COM" TargetMode="External"/><Relationship Id="rId160" Type="http://schemas.openxmlformats.org/officeDocument/2006/relationships/hyperlink" Target="mailto:ICISTERNADIAZ@GMAIL.COM" TargetMode="External"/><Relationship Id="rId181" Type="http://schemas.openxmlformats.org/officeDocument/2006/relationships/hyperlink" Target="mailto:JAIME.VELOZO21@GMAIL.COM" TargetMode="External"/><Relationship Id="rId22" Type="http://schemas.openxmlformats.org/officeDocument/2006/relationships/hyperlink" Target="mailto:JULIETA.ARENAS.SILVA@GMAIL.COM" TargetMode="External"/><Relationship Id="rId43" Type="http://schemas.openxmlformats.org/officeDocument/2006/relationships/hyperlink" Target="mailto:ABIGAILMOLINA204@GMAIL.COM" TargetMode="External"/><Relationship Id="rId64" Type="http://schemas.openxmlformats.org/officeDocument/2006/relationships/hyperlink" Target="mailto:VASLESKAR251@GMAIL.COM" TargetMode="External"/><Relationship Id="rId118" Type="http://schemas.openxmlformats.org/officeDocument/2006/relationships/hyperlink" Target="mailto:barbyypablo0@gamil.com" TargetMode="External"/><Relationship Id="rId139" Type="http://schemas.openxmlformats.org/officeDocument/2006/relationships/hyperlink" Target="mailto:andreavalenzuela.1975@gmail.com" TargetMode="External"/><Relationship Id="rId85" Type="http://schemas.openxmlformats.org/officeDocument/2006/relationships/hyperlink" Target="mailto:GLABRANAMIRANDA@GMAIL.COM" TargetMode="External"/><Relationship Id="rId150" Type="http://schemas.openxmlformats.org/officeDocument/2006/relationships/hyperlink" Target="mailto:CRISTIANFERNANDEZ.RA@GMAIL.COM" TargetMode="External"/><Relationship Id="rId171" Type="http://schemas.openxmlformats.org/officeDocument/2006/relationships/hyperlink" Target="mailto:NICOSEPULVEDALARA@GMAIL.COM" TargetMode="External"/><Relationship Id="rId12" Type="http://schemas.openxmlformats.org/officeDocument/2006/relationships/hyperlink" Target="mailto:PEREZORTIZJUDITH17@GMAIL.COM" TargetMode="External"/><Relationship Id="rId33" Type="http://schemas.openxmlformats.org/officeDocument/2006/relationships/hyperlink" Target="mailto:MARIAESTEFANY.GUTIERREZ@GMAIL.COM" TargetMode="External"/><Relationship Id="rId108" Type="http://schemas.openxmlformats.org/officeDocument/2006/relationships/hyperlink" Target="mailto:MCAMPOS@SANCLEMENTE.CL" TargetMode="External"/><Relationship Id="rId129" Type="http://schemas.openxmlformats.org/officeDocument/2006/relationships/hyperlink" Target="mailto:GONZALEZJAVIERA1211@GMAIL.COM" TargetMode="External"/><Relationship Id="rId54" Type="http://schemas.openxmlformats.org/officeDocument/2006/relationships/hyperlink" Target="mailto:ELYDIMARCOP@GMAIL.COM" TargetMode="External"/><Relationship Id="rId75" Type="http://schemas.openxmlformats.org/officeDocument/2006/relationships/hyperlink" Target="mailto:JAFJSV@GMAIL.COM" TargetMode="External"/><Relationship Id="rId96" Type="http://schemas.openxmlformats.org/officeDocument/2006/relationships/hyperlink" Target="mailto:BORIS.LOBOSTAPIA@GMAIL.COM" TargetMode="External"/><Relationship Id="rId140" Type="http://schemas.openxmlformats.org/officeDocument/2006/relationships/hyperlink" Target="mailto:JOSORIOCARVAJAL@HOTMAIL.COM" TargetMode="External"/><Relationship Id="rId161" Type="http://schemas.openxmlformats.org/officeDocument/2006/relationships/hyperlink" Target="mailto:LUISTRONCOSOPREV@GMAIL.COM" TargetMode="External"/><Relationship Id="rId182" Type="http://schemas.openxmlformats.org/officeDocument/2006/relationships/drawing" Target="../drawings/drawing2.xml"/><Relationship Id="rId6" Type="http://schemas.openxmlformats.org/officeDocument/2006/relationships/hyperlink" Target="mailto:patty.gajardo.63@hotmail.com" TargetMode="External"/><Relationship Id="rId23" Type="http://schemas.openxmlformats.org/officeDocument/2006/relationships/hyperlink" Target="mailto:AYLINMUNOZMORALES@GMAIL.COM" TargetMode="External"/><Relationship Id="rId119" Type="http://schemas.openxmlformats.org/officeDocument/2006/relationships/hyperlink" Target="mailto:ALMENDRAVERDUGO@HOTMAIL.COM" TargetMode="External"/><Relationship Id="rId44" Type="http://schemas.openxmlformats.org/officeDocument/2006/relationships/hyperlink" Target="mailto:NICOLGONZALEZ358@GMAIL.COM" TargetMode="External"/><Relationship Id="rId60" Type="http://schemas.openxmlformats.org/officeDocument/2006/relationships/hyperlink" Target="mailto:PIA.SOLAN@GMAIL.COM" TargetMode="External"/><Relationship Id="rId65" Type="http://schemas.openxmlformats.org/officeDocument/2006/relationships/hyperlink" Target="mailto:PEDROGCATALAN98@GMAIL.COM" TargetMode="External"/><Relationship Id="rId81" Type="http://schemas.openxmlformats.org/officeDocument/2006/relationships/hyperlink" Target="mailto:FRANCHE.NAVARROROA@GMAIL.COM" TargetMode="External"/><Relationship Id="rId86" Type="http://schemas.openxmlformats.org/officeDocument/2006/relationships/hyperlink" Target="mailto:CLAUDIA.SUAZO.S@GMAIL.COM" TargetMode="External"/><Relationship Id="rId130" Type="http://schemas.openxmlformats.org/officeDocument/2006/relationships/hyperlink" Target="mailto:PIZARRO22@GMAIL.COM" TargetMode="External"/><Relationship Id="rId135" Type="http://schemas.openxmlformats.org/officeDocument/2006/relationships/hyperlink" Target="mailto:letelier.brunel@gmail.com" TargetMode="External"/><Relationship Id="rId151" Type="http://schemas.openxmlformats.org/officeDocument/2006/relationships/hyperlink" Target="mailto:YARITZACAMPO94@GMAIL.COM" TargetMode="External"/><Relationship Id="rId156" Type="http://schemas.openxmlformats.org/officeDocument/2006/relationships/hyperlink" Target="mailto:RDANY28.7@GMAIL.COM" TargetMode="External"/><Relationship Id="rId177" Type="http://schemas.openxmlformats.org/officeDocument/2006/relationships/hyperlink" Target="mailto:ESTHEFANY.CONTRERAS@GMAIL.COM" TargetMode="External"/><Relationship Id="rId172" Type="http://schemas.openxmlformats.org/officeDocument/2006/relationships/hyperlink" Target="mailto:HERNAN.VALDES.P@GMAIL.COM" TargetMode="External"/><Relationship Id="rId13" Type="http://schemas.openxmlformats.org/officeDocument/2006/relationships/hyperlink" Target="mailto:VARGAS.CRISTOFER1998@GMAIL.COM" TargetMode="External"/><Relationship Id="rId18" Type="http://schemas.openxmlformats.org/officeDocument/2006/relationships/hyperlink" Target="mailto:BELENZENTENO.C@GMAIL.COM" TargetMode="External"/><Relationship Id="rId39" Type="http://schemas.openxmlformats.org/officeDocument/2006/relationships/hyperlink" Target="mailto:MAJOSEFRANCISCA@GMAIL.COM" TargetMode="External"/><Relationship Id="rId109" Type="http://schemas.openxmlformats.org/officeDocument/2006/relationships/hyperlink" Target="mailto:CSOLIS.ARQ@GMAIL.COM" TargetMode="External"/><Relationship Id="rId34" Type="http://schemas.openxmlformats.org/officeDocument/2006/relationships/hyperlink" Target="mailto:PAZMSEPULVEDA@GMAIL.COM" TargetMode="External"/><Relationship Id="rId50" Type="http://schemas.openxmlformats.org/officeDocument/2006/relationships/hyperlink" Target="mailto:FVALDESTALA@GMAIL.COM" TargetMode="External"/><Relationship Id="rId55" Type="http://schemas.openxmlformats.org/officeDocument/2006/relationships/hyperlink" Target="mailto:YESENIAARAVENAORTIZ@GMAIL.COM" TargetMode="External"/><Relationship Id="rId76" Type="http://schemas.openxmlformats.org/officeDocument/2006/relationships/hyperlink" Target="mailto:VIVIANASOTITOSILVA@GMAIL.COM" TargetMode="External"/><Relationship Id="rId97" Type="http://schemas.openxmlformats.org/officeDocument/2006/relationships/hyperlink" Target="mailto:MARCO.LLANOS25@HOTMAIL.COM" TargetMode="External"/><Relationship Id="rId104" Type="http://schemas.openxmlformats.org/officeDocument/2006/relationships/hyperlink" Target="mailto:LESLYRAMIREZ1994@GMAIL.COM" TargetMode="External"/><Relationship Id="rId120" Type="http://schemas.openxmlformats.org/officeDocument/2006/relationships/hyperlink" Target="mailto:MIRENTXU.GUINEZZ@GMAIL.COM" TargetMode="External"/><Relationship Id="rId125" Type="http://schemas.openxmlformats.org/officeDocument/2006/relationships/hyperlink" Target="mailto:caritomunos.urra@gmail.com" TargetMode="External"/><Relationship Id="rId141" Type="http://schemas.openxmlformats.org/officeDocument/2006/relationships/hyperlink" Target="mailto:FELIPEFARIASRO@GMAIL.COM" TargetMode="External"/><Relationship Id="rId146" Type="http://schemas.openxmlformats.org/officeDocument/2006/relationships/hyperlink" Target="mailto:MATYSALAZAR1991@GMAIL.COM" TargetMode="External"/><Relationship Id="rId167" Type="http://schemas.openxmlformats.org/officeDocument/2006/relationships/hyperlink" Target="mailto:JULIO.PAREDES2004@GMAIL.COM" TargetMode="External"/><Relationship Id="rId7" Type="http://schemas.openxmlformats.org/officeDocument/2006/relationships/hyperlink" Target="mailto:PAMELA.YAITUL1983@GMAIL.COM" TargetMode="External"/><Relationship Id="rId71" Type="http://schemas.openxmlformats.org/officeDocument/2006/relationships/hyperlink" Target="mailto:ILLANESPAOLA297@GMAIL.COM" TargetMode="External"/><Relationship Id="rId92" Type="http://schemas.openxmlformats.org/officeDocument/2006/relationships/hyperlink" Target="mailto:KATHERINE0453@GMAIL.COM" TargetMode="External"/><Relationship Id="rId162" Type="http://schemas.openxmlformats.org/officeDocument/2006/relationships/hyperlink" Target="mailto:FIGCH.1996@GMAIL.COM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mailto:CARLAMORAN2000@GMAIL.COM" TargetMode="External"/><Relationship Id="rId29" Type="http://schemas.openxmlformats.org/officeDocument/2006/relationships/hyperlink" Target="mailto:ALEJANDRAVANESA97@GMAIL.COM" TargetMode="External"/><Relationship Id="rId24" Type="http://schemas.openxmlformats.org/officeDocument/2006/relationships/hyperlink" Target="mailto:lauragarcia199403@gmail.com" TargetMode="External"/><Relationship Id="rId40" Type="http://schemas.openxmlformats.org/officeDocument/2006/relationships/hyperlink" Target="mailto:FELIPE.VIVANCO@HOTMAIL.COM" TargetMode="External"/><Relationship Id="rId45" Type="http://schemas.openxmlformats.org/officeDocument/2006/relationships/hyperlink" Target="mailto:silsanfi08@hotmail.com" TargetMode="External"/><Relationship Id="rId66" Type="http://schemas.openxmlformats.org/officeDocument/2006/relationships/hyperlink" Target="mailto:GRACIELAL.CRUZ1948@GMAIL.COM" TargetMode="External"/><Relationship Id="rId87" Type="http://schemas.openxmlformats.org/officeDocument/2006/relationships/hyperlink" Target="mailto:ALEJANDRO._JESUS@HOTMAIL.COM" TargetMode="External"/><Relationship Id="rId110" Type="http://schemas.openxmlformats.org/officeDocument/2006/relationships/hyperlink" Target="mailto:MATIAS.ARROYO.QUIROZ@GMAIL.COM" TargetMode="External"/><Relationship Id="rId115" Type="http://schemas.openxmlformats.org/officeDocument/2006/relationships/hyperlink" Target="mailto:MARITZA.DAVILAMOYA@GMAIL.COM" TargetMode="External"/><Relationship Id="rId131" Type="http://schemas.openxmlformats.org/officeDocument/2006/relationships/hyperlink" Target="mailto:IRITIMEX@GMAIL.COM" TargetMode="External"/><Relationship Id="rId136" Type="http://schemas.openxmlformats.org/officeDocument/2006/relationships/hyperlink" Target="mailto:CAMILAA.MOND@GMAIL.COM" TargetMode="External"/><Relationship Id="rId157" Type="http://schemas.openxmlformats.org/officeDocument/2006/relationships/hyperlink" Target="mailto:KPINCHEIRA@UTALCA.CL" TargetMode="External"/><Relationship Id="rId178" Type="http://schemas.openxmlformats.org/officeDocument/2006/relationships/hyperlink" Target="mailto:CAVASQUEZ99@GMAIL.COM" TargetMode="External"/><Relationship Id="rId61" Type="http://schemas.openxmlformats.org/officeDocument/2006/relationships/hyperlink" Target="mailto:VICMACONCHAP@GMAIL.COM" TargetMode="External"/><Relationship Id="rId82" Type="http://schemas.openxmlformats.org/officeDocument/2006/relationships/hyperlink" Target="mailto:VILCHESC.2020@GMAIL.COM" TargetMode="External"/><Relationship Id="rId152" Type="http://schemas.openxmlformats.org/officeDocument/2006/relationships/hyperlink" Target="mailto:PATRICIALEIVASEPULVEDA@GMAIL.COM" TargetMode="External"/><Relationship Id="rId173" Type="http://schemas.openxmlformats.org/officeDocument/2006/relationships/hyperlink" Target="mailto:GLAVALENZUELA@GMAIL.COM" TargetMode="External"/><Relationship Id="rId19" Type="http://schemas.openxmlformats.org/officeDocument/2006/relationships/hyperlink" Target="mailto:JEANINNAMANCILLAM@GMAIL.COM" TargetMode="External"/><Relationship Id="rId14" Type="http://schemas.openxmlformats.org/officeDocument/2006/relationships/hyperlink" Target="mailto:VCECILIA.FM@GMAIL.COM" TargetMode="External"/><Relationship Id="rId30" Type="http://schemas.openxmlformats.org/officeDocument/2006/relationships/hyperlink" Target="mailto:VELARDEMARCELAPAZ@GMAIL.COM" TargetMode="External"/><Relationship Id="rId35" Type="http://schemas.openxmlformats.org/officeDocument/2006/relationships/hyperlink" Target="mailto:INGRID_CACERES28@HOTMAIL.COM" TargetMode="External"/><Relationship Id="rId56" Type="http://schemas.openxmlformats.org/officeDocument/2006/relationships/hyperlink" Target="mailto:TANIIAALEXANDRA23@GMAIL.COM" TargetMode="External"/><Relationship Id="rId77" Type="http://schemas.openxmlformats.org/officeDocument/2006/relationships/hyperlink" Target="mailto:NICOLE.SEPULVEDA67@GMAIL.COM" TargetMode="External"/><Relationship Id="rId100" Type="http://schemas.openxmlformats.org/officeDocument/2006/relationships/hyperlink" Target="mailto:STEFYFUENZA@HOTMAIL.COM" TargetMode="External"/><Relationship Id="rId105" Type="http://schemas.openxmlformats.org/officeDocument/2006/relationships/hyperlink" Target="mailto:CARMEN.MELLA.JOAQUIN03@GMAIL.COM" TargetMode="External"/><Relationship Id="rId126" Type="http://schemas.openxmlformats.org/officeDocument/2006/relationships/hyperlink" Target="mailto:2208FRANCO@GMAIL.COM" TargetMode="External"/><Relationship Id="rId147" Type="http://schemas.openxmlformats.org/officeDocument/2006/relationships/hyperlink" Target="mailto:l.s.marquez.lopez@gmail.com" TargetMode="External"/><Relationship Id="rId168" Type="http://schemas.openxmlformats.org/officeDocument/2006/relationships/hyperlink" Target="mailto:JAVIER.MEDINA@PFALIMENTOS.CL" TargetMode="External"/><Relationship Id="rId8" Type="http://schemas.openxmlformats.org/officeDocument/2006/relationships/hyperlink" Target="mailto:SOLEMA1998@GMAIL.COM" TargetMode="External"/><Relationship Id="rId51" Type="http://schemas.openxmlformats.org/officeDocument/2006/relationships/hyperlink" Target="mailto:tamara.ame@gmail.com%20/%20ACHLI_92@HOTMAIL.COM" TargetMode="External"/><Relationship Id="rId72" Type="http://schemas.openxmlformats.org/officeDocument/2006/relationships/hyperlink" Target="mailto:YOSELINE20@OUTLOOK.ES" TargetMode="External"/><Relationship Id="rId93" Type="http://schemas.openxmlformats.org/officeDocument/2006/relationships/hyperlink" Target="mailto:FRANCIJCETR43@GMAIL.COM" TargetMode="External"/><Relationship Id="rId98" Type="http://schemas.openxmlformats.org/officeDocument/2006/relationships/hyperlink" Target="mailto:MARIIELAMENDEZ2012@GMAIL.COM" TargetMode="External"/><Relationship Id="rId121" Type="http://schemas.openxmlformats.org/officeDocument/2006/relationships/hyperlink" Target="mailto:GONZALOANDRES.@HOTMAIL.COM" TargetMode="External"/><Relationship Id="rId142" Type="http://schemas.openxmlformats.org/officeDocument/2006/relationships/hyperlink" Target="mailto:GHEISON.SP@GMAIL.COM" TargetMode="External"/><Relationship Id="rId163" Type="http://schemas.openxmlformats.org/officeDocument/2006/relationships/hyperlink" Target="mailto:ICASANOVAPACHECO@GMAIL.COM" TargetMode="External"/><Relationship Id="rId3" Type="http://schemas.openxmlformats.org/officeDocument/2006/relationships/hyperlink" Target="mailto:ARRIAGADALINDS@GMAIL.COM" TargetMode="External"/><Relationship Id="rId25" Type="http://schemas.openxmlformats.org/officeDocument/2006/relationships/hyperlink" Target="mailto:ESTEFANIATAMAYO2@GMAIL.COM" TargetMode="External"/><Relationship Id="rId46" Type="http://schemas.openxmlformats.org/officeDocument/2006/relationships/hyperlink" Target="mailto:VEYZAGUIRREFLORES@GMAIL.COM" TargetMode="External"/><Relationship Id="rId67" Type="http://schemas.openxmlformats.org/officeDocument/2006/relationships/hyperlink" Target="mailto:GVALEDESR007@GMAIL.COM" TargetMode="External"/><Relationship Id="rId116" Type="http://schemas.openxmlformats.org/officeDocument/2006/relationships/hyperlink" Target="mailto:cmagdalena.carreno@gmail.com" TargetMode="External"/><Relationship Id="rId137" Type="http://schemas.openxmlformats.org/officeDocument/2006/relationships/hyperlink" Target="mailto:katty01187@gmail.com" TargetMode="External"/><Relationship Id="rId158" Type="http://schemas.openxmlformats.org/officeDocument/2006/relationships/hyperlink" Target="mailto:RICARDOANDRES0001@GMAIL.COM" TargetMode="External"/><Relationship Id="rId20" Type="http://schemas.openxmlformats.org/officeDocument/2006/relationships/hyperlink" Target="mailto:LUIS.ESPINOZA@SENAME.CL" TargetMode="External"/><Relationship Id="rId41" Type="http://schemas.openxmlformats.org/officeDocument/2006/relationships/hyperlink" Target="mailto:JAVIERA17VERDUGO@GMAIL.COM" TargetMode="External"/><Relationship Id="rId62" Type="http://schemas.openxmlformats.org/officeDocument/2006/relationships/hyperlink" Target="mailto:JANDRESCABRERA593@GMAIL.COM" TargetMode="External"/><Relationship Id="rId83" Type="http://schemas.openxmlformats.org/officeDocument/2006/relationships/hyperlink" Target="mailto:VARASBM@GMAIL.COM" TargetMode="External"/><Relationship Id="rId88" Type="http://schemas.openxmlformats.org/officeDocument/2006/relationships/hyperlink" Target="mailto:JORGE.OYARZO1313@GMAIL.COM" TargetMode="External"/><Relationship Id="rId111" Type="http://schemas.openxmlformats.org/officeDocument/2006/relationships/hyperlink" Target="mailto:FELIPE.HERRERA.ARAVENA@HOTMAIL.COM" TargetMode="External"/><Relationship Id="rId132" Type="http://schemas.openxmlformats.org/officeDocument/2006/relationships/hyperlink" Target="mailto:NROJOS_UCM@HOTMAIL.COM" TargetMode="External"/><Relationship Id="rId153" Type="http://schemas.openxmlformats.org/officeDocument/2006/relationships/hyperlink" Target="mailto:mf.morenovaldes@gmail.com" TargetMode="External"/><Relationship Id="rId174" Type="http://schemas.openxmlformats.org/officeDocument/2006/relationships/hyperlink" Target="mailto:IGNACIO.VILLAR.C@GMAIL.COM" TargetMode="External"/><Relationship Id="rId179" Type="http://schemas.openxmlformats.org/officeDocument/2006/relationships/hyperlink" Target="mailto:DARIOISAIASRO@GMAIL.COM" TargetMode="External"/><Relationship Id="rId15" Type="http://schemas.openxmlformats.org/officeDocument/2006/relationships/hyperlink" Target="mailto:N.ESPINOSA.D@GMAIL.COM" TargetMode="External"/><Relationship Id="rId36" Type="http://schemas.openxmlformats.org/officeDocument/2006/relationships/hyperlink" Target="mailto:carolacurico@gmail.com" TargetMode="External"/><Relationship Id="rId57" Type="http://schemas.openxmlformats.org/officeDocument/2006/relationships/hyperlink" Target="mailto:V.GUTI.LOPEZ@GMAIL.COM" TargetMode="External"/><Relationship Id="rId106" Type="http://schemas.openxmlformats.org/officeDocument/2006/relationships/hyperlink" Target="mailto:MATIASRIVERAAGUAYO199@GMAIL.COM" TargetMode="External"/><Relationship Id="rId127" Type="http://schemas.openxmlformats.org/officeDocument/2006/relationships/hyperlink" Target="mailto:sara.belencor@gmail.com" TargetMode="External"/><Relationship Id="rId10" Type="http://schemas.openxmlformats.org/officeDocument/2006/relationships/hyperlink" Target="mailto:espinozalobosv@gmail.com" TargetMode="External"/><Relationship Id="rId31" Type="http://schemas.openxmlformats.org/officeDocument/2006/relationships/hyperlink" Target="mailto:DEBORAALBURQUENQUE@GMAIL.COM" TargetMode="External"/><Relationship Id="rId52" Type="http://schemas.openxmlformats.org/officeDocument/2006/relationships/hyperlink" Target="mailto:GUIDOLORCA@GMAIL.COM" TargetMode="External"/><Relationship Id="rId73" Type="http://schemas.openxmlformats.org/officeDocument/2006/relationships/hyperlink" Target="mailto:VICTORIA.CS2310@GMAIL.COM" TargetMode="External"/><Relationship Id="rId78" Type="http://schemas.openxmlformats.org/officeDocument/2006/relationships/hyperlink" Target="mailto:KHLOECAMILA198@GMAIL.COM" TargetMode="External"/><Relationship Id="rId94" Type="http://schemas.openxmlformats.org/officeDocument/2006/relationships/hyperlink" Target="mailto:KARLACORVALANC@GMAIL.COM" TargetMode="External"/><Relationship Id="rId99" Type="http://schemas.openxmlformats.org/officeDocument/2006/relationships/hyperlink" Target="mailto:PATRICIA1976MABEL@GMAIL.COM" TargetMode="External"/><Relationship Id="rId101" Type="http://schemas.openxmlformats.org/officeDocument/2006/relationships/hyperlink" Target="mailto:JAVYTAURJA@GMAIL.COM" TargetMode="External"/><Relationship Id="rId122" Type="http://schemas.openxmlformats.org/officeDocument/2006/relationships/hyperlink" Target="mailto:cgmarycg@gmail.com" TargetMode="External"/><Relationship Id="rId143" Type="http://schemas.openxmlformats.org/officeDocument/2006/relationships/hyperlink" Target="mailto:dilan.jara15@gmail.com" TargetMode="External"/><Relationship Id="rId148" Type="http://schemas.openxmlformats.org/officeDocument/2006/relationships/hyperlink" Target="mailto:mariajoseovalles24@gmail.com" TargetMode="External"/><Relationship Id="rId164" Type="http://schemas.openxmlformats.org/officeDocument/2006/relationships/hyperlink" Target="mailto:PREYESBERTOLONE@GMAIL.COM" TargetMode="External"/><Relationship Id="rId169" Type="http://schemas.openxmlformats.org/officeDocument/2006/relationships/hyperlink" Target="mailto:sepulvedadaniela.612@gmail.com" TargetMode="External"/><Relationship Id="rId4" Type="http://schemas.openxmlformats.org/officeDocument/2006/relationships/hyperlink" Target="mailto:NALLELI.FRANR@GMAIL.COM" TargetMode="External"/><Relationship Id="rId9" Type="http://schemas.openxmlformats.org/officeDocument/2006/relationships/hyperlink" Target="mailto:lsotoboothliset@gmail.com" TargetMode="External"/><Relationship Id="rId180" Type="http://schemas.openxmlformats.org/officeDocument/2006/relationships/hyperlink" Target="mailto:carloslandabur14@gmail.com" TargetMode="External"/><Relationship Id="rId26" Type="http://schemas.openxmlformats.org/officeDocument/2006/relationships/hyperlink" Target="mailto:DANIELLEONIDAS94@GMAIL.COM" TargetMode="External"/><Relationship Id="rId47" Type="http://schemas.openxmlformats.org/officeDocument/2006/relationships/hyperlink" Target="mailto:noeelynovoa@hotmail.com" TargetMode="External"/><Relationship Id="rId68" Type="http://schemas.openxmlformats.org/officeDocument/2006/relationships/hyperlink" Target="mailto:LOREDANNACAVALLO@GMAIL.COM" TargetMode="External"/><Relationship Id="rId89" Type="http://schemas.openxmlformats.org/officeDocument/2006/relationships/hyperlink" Target="mailto:IBARRALAMILLAINES2019@GMAIL.COM" TargetMode="External"/><Relationship Id="rId112" Type="http://schemas.openxmlformats.org/officeDocument/2006/relationships/hyperlink" Target="mailto:VERO_AMELY@LIVE.CL" TargetMode="External"/><Relationship Id="rId133" Type="http://schemas.openxmlformats.org/officeDocument/2006/relationships/hyperlink" Target="mailto:nataliamarquezve@gmail.com" TargetMode="External"/><Relationship Id="rId154" Type="http://schemas.openxmlformats.org/officeDocument/2006/relationships/hyperlink" Target="mailto:GIUGIOVANAMS@GMAIL.COM" TargetMode="External"/><Relationship Id="rId175" Type="http://schemas.openxmlformats.org/officeDocument/2006/relationships/hyperlink" Target="mailto:PABLOSUAREZQ@GMAIL.COM" TargetMode="External"/><Relationship Id="rId16" Type="http://schemas.openxmlformats.org/officeDocument/2006/relationships/hyperlink" Target="mailto:CARMENMINO09@GMAIL.COM" TargetMode="External"/><Relationship Id="rId37" Type="http://schemas.openxmlformats.org/officeDocument/2006/relationships/hyperlink" Target="mailto:YINELVA.MODINGER@GMAIL.COM" TargetMode="External"/><Relationship Id="rId58" Type="http://schemas.openxmlformats.org/officeDocument/2006/relationships/hyperlink" Target="mailto:XIMENAVALENZUELA.BOBADILLA@GMAIL.COM" TargetMode="External"/><Relationship Id="rId79" Type="http://schemas.openxmlformats.org/officeDocument/2006/relationships/hyperlink" Target="mailto:STEFFANN_M.P@HOTMAIL.COM" TargetMode="External"/><Relationship Id="rId102" Type="http://schemas.openxmlformats.org/officeDocument/2006/relationships/hyperlink" Target="mailto:IGBELEN1104@GMAIL.COM" TargetMode="External"/><Relationship Id="rId123" Type="http://schemas.openxmlformats.org/officeDocument/2006/relationships/hyperlink" Target="mailto:fransotosaavedra@gmail.com" TargetMode="External"/><Relationship Id="rId144" Type="http://schemas.openxmlformats.org/officeDocument/2006/relationships/hyperlink" Target="mailto:OBREQUEJAVIER7@GMAIL.COM" TargetMode="External"/><Relationship Id="rId90" Type="http://schemas.openxmlformats.org/officeDocument/2006/relationships/hyperlink" Target="mailto:INOSTROZAHERNANDEZ1986@GMAIL.COM" TargetMode="External"/><Relationship Id="rId165" Type="http://schemas.openxmlformats.org/officeDocument/2006/relationships/hyperlink" Target="mailto:FIDELANDRESCRUZCASTRO@GMAIL.COM" TargetMode="External"/><Relationship Id="rId27" Type="http://schemas.openxmlformats.org/officeDocument/2006/relationships/hyperlink" Target="mailto:CATHERINERODRIGUEZRUIZ@HOTMAIL.COM" TargetMode="External"/><Relationship Id="rId48" Type="http://schemas.openxmlformats.org/officeDocument/2006/relationships/hyperlink" Target="mailto:MARIONORIELGONZALEZ@ICLOUD.COM" TargetMode="External"/><Relationship Id="rId69" Type="http://schemas.openxmlformats.org/officeDocument/2006/relationships/hyperlink" Target="mailto:FLORIMARREVILLA@HOTMAIL.COM" TargetMode="External"/><Relationship Id="rId113" Type="http://schemas.openxmlformats.org/officeDocument/2006/relationships/hyperlink" Target="mailto:CGONZALEZ@CFJ.CL" TargetMode="External"/><Relationship Id="rId134" Type="http://schemas.openxmlformats.org/officeDocument/2006/relationships/hyperlink" Target="mailto:dra.melanievvera@gmail.com" TargetMode="External"/><Relationship Id="rId80" Type="http://schemas.openxmlformats.org/officeDocument/2006/relationships/hyperlink" Target="mailto:DAHELE@GMAIL.COM" TargetMode="External"/><Relationship Id="rId155" Type="http://schemas.openxmlformats.org/officeDocument/2006/relationships/hyperlink" Target="mailto:fabian.gvaldes@gmail.com" TargetMode="External"/><Relationship Id="rId176" Type="http://schemas.openxmlformats.org/officeDocument/2006/relationships/hyperlink" Target="mailto:NSBM809@GMAIL.COM" TargetMode="External"/><Relationship Id="rId17" Type="http://schemas.openxmlformats.org/officeDocument/2006/relationships/hyperlink" Target="mailto:MAJOGONZALEZ998@GMAIL.COM" TargetMode="External"/><Relationship Id="rId38" Type="http://schemas.openxmlformats.org/officeDocument/2006/relationships/hyperlink" Target="mailto:PAOMUN2018@GMAIL.COM" TargetMode="External"/><Relationship Id="rId59" Type="http://schemas.openxmlformats.org/officeDocument/2006/relationships/hyperlink" Target="mailto:DIEGO14_17@HOTMAIL.COM" TargetMode="External"/><Relationship Id="rId103" Type="http://schemas.openxmlformats.org/officeDocument/2006/relationships/hyperlink" Target="mailto:VZAMUDIOCACERES@GMAIL.COM" TargetMode="External"/><Relationship Id="rId124" Type="http://schemas.openxmlformats.org/officeDocument/2006/relationships/hyperlink" Target="mailto:cristobal.letelier94@gmail.com" TargetMode="External"/><Relationship Id="rId70" Type="http://schemas.openxmlformats.org/officeDocument/2006/relationships/hyperlink" Target="mailto:JEYZE91@GMAIL.COM" TargetMode="External"/><Relationship Id="rId91" Type="http://schemas.openxmlformats.org/officeDocument/2006/relationships/hyperlink" Target="mailto:ARAVENACARLOS.1992@GMAIL.COM" TargetMode="External"/><Relationship Id="rId145" Type="http://schemas.openxmlformats.org/officeDocument/2006/relationships/hyperlink" Target="mailto:NAYDAAGUILERA@GMAIL.COM" TargetMode="External"/><Relationship Id="rId166" Type="http://schemas.openxmlformats.org/officeDocument/2006/relationships/hyperlink" Target="mailto:VERGARARETAMALDANIELA@GMAIL.COM" TargetMode="External"/><Relationship Id="rId1" Type="http://schemas.openxmlformats.org/officeDocument/2006/relationships/hyperlink" Target="mailto:BELENVALENZUELA.PARRA@GMAIL.COM" TargetMode="External"/><Relationship Id="rId28" Type="http://schemas.openxmlformats.org/officeDocument/2006/relationships/hyperlink" Target="mailto:VRODRIGUEZARRIAGADA@GMAIL.COM" TargetMode="External"/><Relationship Id="rId49" Type="http://schemas.openxmlformats.org/officeDocument/2006/relationships/hyperlink" Target="mailto:MSAEZTSOCIAL01@GMAIL.COM" TargetMode="External"/><Relationship Id="rId114" Type="http://schemas.openxmlformats.org/officeDocument/2006/relationships/hyperlink" Target="mailto:DANI.SAEZ.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CD87-3460-466C-8807-FB81D45EF222}">
  <sheetPr>
    <tabColor rgb="FF00B0F0"/>
  </sheetPr>
  <dimension ref="A1:R32"/>
  <sheetViews>
    <sheetView tabSelected="1" zoomScale="87" zoomScaleNormal="141" workbookViewId="0">
      <selection activeCell="G18" sqref="G18"/>
    </sheetView>
  </sheetViews>
  <sheetFormatPr baseColWidth="10" defaultColWidth="11.5546875" defaultRowHeight="13.8" x14ac:dyDescent="0.3"/>
  <cols>
    <col min="1" max="1" width="1.88671875" style="2" customWidth="1"/>
    <col min="2" max="2" width="14.44140625" style="2" customWidth="1"/>
    <col min="3" max="3" width="40.88671875" style="2" customWidth="1"/>
    <col min="4" max="6" width="11.5546875" style="2" customWidth="1"/>
    <col min="7" max="7" width="12.33203125" style="2" customWidth="1"/>
    <col min="8" max="8" width="17.6640625" style="2" bestFit="1" customWidth="1"/>
    <col min="9" max="9" width="11.44140625" style="2" customWidth="1"/>
    <col min="10" max="10" width="14.88671875" style="2" customWidth="1"/>
    <col min="11" max="11" width="52.109375" style="26" customWidth="1"/>
    <col min="12" max="12" width="15.33203125" style="2" customWidth="1"/>
    <col min="13" max="13" width="17.33203125" style="2" bestFit="1" customWidth="1"/>
    <col min="14" max="14" width="19.88671875" style="2" customWidth="1"/>
    <col min="15" max="15" width="156.88671875" style="2" bestFit="1" customWidth="1"/>
    <col min="16" max="16" width="15.109375" style="2" customWidth="1"/>
    <col min="17" max="17" width="15.44140625" style="2" customWidth="1"/>
    <col min="18" max="18" width="15.109375" style="2" customWidth="1"/>
    <col min="19" max="16384" width="11.5546875" style="2"/>
  </cols>
  <sheetData>
    <row r="1" spans="1:18" ht="16.5" customHeight="1" x14ac:dyDescent="0.25">
      <c r="A1" s="317"/>
      <c r="B1" s="317"/>
      <c r="C1" s="3"/>
      <c r="D1" s="3"/>
      <c r="E1" s="3"/>
      <c r="F1" s="3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</row>
    <row r="2" spans="1:18" ht="16.5" customHeight="1" x14ac:dyDescent="0.25">
      <c r="A2" s="317"/>
      <c r="B2" s="317"/>
      <c r="C2" s="318" t="s">
        <v>40</v>
      </c>
      <c r="D2" s="319"/>
      <c r="E2" s="319"/>
      <c r="F2" s="319"/>
      <c r="G2" s="319"/>
      <c r="H2" s="319"/>
      <c r="I2" s="191"/>
      <c r="J2" s="4"/>
      <c r="K2" s="330" t="s">
        <v>0</v>
      </c>
      <c r="L2" s="195">
        <f>COUNTIF(L8:L124,"TERMINADO")</f>
        <v>19</v>
      </c>
      <c r="M2" s="321">
        <f>SUM(L2:L5)</f>
        <v>25</v>
      </c>
      <c r="N2" s="198"/>
      <c r="O2" s="4"/>
      <c r="P2" s="4"/>
      <c r="Q2" s="4"/>
      <c r="R2" s="4"/>
    </row>
    <row r="3" spans="1:18" ht="16.5" customHeight="1" x14ac:dyDescent="0.25">
      <c r="A3" s="317"/>
      <c r="B3" s="317"/>
      <c r="C3" s="319"/>
      <c r="D3" s="319"/>
      <c r="E3" s="319"/>
      <c r="F3" s="319"/>
      <c r="G3" s="319"/>
      <c r="H3" s="319"/>
      <c r="I3" s="191"/>
      <c r="J3" s="4"/>
      <c r="K3" s="330" t="s">
        <v>1</v>
      </c>
      <c r="L3" s="196">
        <f>COUNTIF(L8:L125,"EN EJECUCION")</f>
        <v>1</v>
      </c>
      <c r="M3" s="321"/>
      <c r="N3" s="198"/>
      <c r="O3" s="4"/>
      <c r="P3" s="4"/>
      <c r="Q3" s="4"/>
      <c r="R3" s="4"/>
    </row>
    <row r="4" spans="1:18" ht="16.5" customHeight="1" x14ac:dyDescent="0.25">
      <c r="A4" s="317"/>
      <c r="B4" s="317"/>
      <c r="C4" s="319"/>
      <c r="D4" s="319"/>
      <c r="E4" s="319"/>
      <c r="F4" s="319"/>
      <c r="G4" s="319"/>
      <c r="H4" s="319"/>
      <c r="I4" s="191"/>
      <c r="J4" s="4"/>
      <c r="K4" s="330" t="s">
        <v>2</v>
      </c>
      <c r="L4" s="197">
        <f>COUNTIF(L8:L125,"PENDIENTE")</f>
        <v>5</v>
      </c>
      <c r="M4" s="321"/>
      <c r="N4" s="198"/>
      <c r="O4" s="4"/>
      <c r="P4" s="4"/>
      <c r="Q4" s="4"/>
      <c r="R4" s="4"/>
    </row>
    <row r="5" spans="1:18" ht="12.75" customHeight="1" x14ac:dyDescent="0.25">
      <c r="B5" s="3"/>
      <c r="C5" s="320"/>
      <c r="D5" s="320"/>
      <c r="E5" s="320"/>
      <c r="F5" s="320"/>
      <c r="G5" s="320"/>
      <c r="H5" s="320"/>
      <c r="I5" s="4"/>
      <c r="J5" s="4"/>
      <c r="K5" s="331" t="s">
        <v>4</v>
      </c>
      <c r="L5" s="239">
        <f>COUNTIF(L8:L126,"CERRADA")</f>
        <v>0</v>
      </c>
      <c r="M5" s="321"/>
      <c r="N5" s="198"/>
      <c r="O5" s="4"/>
      <c r="P5" s="4"/>
      <c r="Q5" s="4"/>
      <c r="R5" s="4"/>
    </row>
    <row r="6" spans="1:18" ht="10.5" customHeight="1" x14ac:dyDescent="0.25">
      <c r="B6" s="3"/>
      <c r="C6" s="4"/>
      <c r="D6" s="4"/>
      <c r="E6" s="4"/>
      <c r="F6" s="4"/>
      <c r="G6" s="4"/>
      <c r="H6" s="4"/>
      <c r="I6" s="4"/>
      <c r="J6" s="4"/>
      <c r="K6" s="5"/>
      <c r="L6" s="4"/>
      <c r="M6" s="4"/>
      <c r="N6" s="4"/>
      <c r="O6" s="4"/>
      <c r="P6" s="4"/>
      <c r="Q6" s="4"/>
      <c r="R6" s="4"/>
    </row>
    <row r="7" spans="1:18" ht="33.75" customHeight="1" x14ac:dyDescent="0.3">
      <c r="B7" s="6" t="s">
        <v>41</v>
      </c>
      <c r="C7" s="7" t="s">
        <v>42</v>
      </c>
      <c r="D7" s="7" t="s">
        <v>27</v>
      </c>
      <c r="E7" s="7" t="s">
        <v>43</v>
      </c>
      <c r="F7" s="7" t="s">
        <v>44</v>
      </c>
      <c r="G7" s="7" t="s">
        <v>45</v>
      </c>
      <c r="H7" s="7" t="s">
        <v>46</v>
      </c>
      <c r="I7" s="193" t="s">
        <v>5</v>
      </c>
      <c r="J7" s="7" t="s">
        <v>14</v>
      </c>
      <c r="K7" s="7" t="s">
        <v>6</v>
      </c>
      <c r="L7" s="7" t="s">
        <v>47</v>
      </c>
      <c r="M7" s="7" t="s">
        <v>48</v>
      </c>
      <c r="N7" s="7" t="s">
        <v>49</v>
      </c>
      <c r="O7" s="7" t="s">
        <v>7</v>
      </c>
      <c r="P7" s="7" t="s">
        <v>50</v>
      </c>
      <c r="Q7" s="7" t="s">
        <v>8</v>
      </c>
      <c r="R7" s="8" t="s">
        <v>9</v>
      </c>
    </row>
    <row r="8" spans="1:18" x14ac:dyDescent="0.25">
      <c r="B8" s="42">
        <v>341</v>
      </c>
      <c r="C8" s="15" t="s">
        <v>333</v>
      </c>
      <c r="D8" s="11">
        <v>986228953</v>
      </c>
      <c r="E8" s="188">
        <v>986228953</v>
      </c>
      <c r="F8" s="192" t="s">
        <v>97</v>
      </c>
      <c r="G8" s="188">
        <v>504</v>
      </c>
      <c r="H8" s="286" t="s">
        <v>329</v>
      </c>
      <c r="I8" s="194" t="s">
        <v>17</v>
      </c>
      <c r="J8" s="11" t="s">
        <v>16</v>
      </c>
      <c r="K8" s="15" t="s">
        <v>336</v>
      </c>
      <c r="L8" s="11" t="s">
        <v>0</v>
      </c>
      <c r="M8" s="223" t="s">
        <v>113</v>
      </c>
      <c r="N8" s="118">
        <v>45926</v>
      </c>
      <c r="O8" s="119"/>
      <c r="P8" s="119"/>
      <c r="Q8" s="119">
        <v>258</v>
      </c>
      <c r="R8" s="329" t="s">
        <v>12</v>
      </c>
    </row>
    <row r="9" spans="1:18" x14ac:dyDescent="0.25">
      <c r="B9" s="42">
        <v>342</v>
      </c>
      <c r="C9" s="15" t="s">
        <v>333</v>
      </c>
      <c r="D9" s="11">
        <v>986228953</v>
      </c>
      <c r="E9" s="188">
        <v>986228953</v>
      </c>
      <c r="F9" s="192" t="s">
        <v>97</v>
      </c>
      <c r="G9" s="188">
        <v>504</v>
      </c>
      <c r="H9" s="286" t="s">
        <v>329</v>
      </c>
      <c r="I9" s="194" t="s">
        <v>17</v>
      </c>
      <c r="J9" s="11" t="s">
        <v>19</v>
      </c>
      <c r="K9" s="15" t="s">
        <v>337</v>
      </c>
      <c r="L9" s="11" t="s">
        <v>0</v>
      </c>
      <c r="M9" s="223" t="s">
        <v>113</v>
      </c>
      <c r="N9" s="118">
        <v>45926</v>
      </c>
      <c r="O9" s="119"/>
      <c r="P9" s="119"/>
      <c r="Q9" s="119">
        <v>259</v>
      </c>
      <c r="R9" s="329" t="s">
        <v>12</v>
      </c>
    </row>
    <row r="10" spans="1:18" x14ac:dyDescent="0.25">
      <c r="B10" s="42">
        <f>ROW() - ROW(SOLICITUD_POSTV2[[#Headers],[N° REQ]]) - 1</f>
        <v>2</v>
      </c>
      <c r="C10" s="15" t="s">
        <v>301</v>
      </c>
      <c r="D10" s="11"/>
      <c r="E10" s="11">
        <v>944250850</v>
      </c>
      <c r="F10" s="11" t="s">
        <v>53</v>
      </c>
      <c r="G10" s="11">
        <v>211</v>
      </c>
      <c r="H10" s="286" t="s">
        <v>338</v>
      </c>
      <c r="I10" s="194" t="s">
        <v>17</v>
      </c>
      <c r="J10" s="11" t="s">
        <v>13</v>
      </c>
      <c r="K10" s="15" t="s">
        <v>339</v>
      </c>
      <c r="L10" s="11" t="s">
        <v>0</v>
      </c>
      <c r="M10" s="223" t="s">
        <v>113</v>
      </c>
      <c r="N10" s="118">
        <v>45926</v>
      </c>
      <c r="O10" s="187"/>
      <c r="P10" s="119"/>
      <c r="Q10" s="119">
        <v>260</v>
      </c>
      <c r="R10" s="329" t="s">
        <v>12</v>
      </c>
    </row>
    <row r="11" spans="1:18" x14ac:dyDescent="0.25">
      <c r="B11" s="42">
        <f>ROW() - ROW(SOLICITUD_POSTV2[[#Headers],[N° REQ]]) - 1</f>
        <v>3</v>
      </c>
      <c r="C11" s="15" t="s">
        <v>289</v>
      </c>
      <c r="D11" s="11" t="s">
        <v>290</v>
      </c>
      <c r="E11" s="11">
        <v>972857034</v>
      </c>
      <c r="F11" s="192" t="s">
        <v>65</v>
      </c>
      <c r="G11" s="10">
        <v>411</v>
      </c>
      <c r="H11" s="286" t="s">
        <v>338</v>
      </c>
      <c r="I11" s="194" t="s">
        <v>17</v>
      </c>
      <c r="J11" s="11" t="s">
        <v>13</v>
      </c>
      <c r="K11" s="15" t="s">
        <v>340</v>
      </c>
      <c r="L11" s="119" t="s">
        <v>0</v>
      </c>
      <c r="M11" s="223" t="s">
        <v>192</v>
      </c>
      <c r="N11" s="118">
        <v>45930</v>
      </c>
      <c r="O11" s="119"/>
      <c r="P11" s="119"/>
      <c r="Q11" s="119">
        <v>261</v>
      </c>
      <c r="R11" s="329" t="s">
        <v>12</v>
      </c>
    </row>
    <row r="12" spans="1:18" x14ac:dyDescent="0.25">
      <c r="B12" s="42">
        <f>ROW() - ROW(SOLICITUD_POSTV2[[#Headers],[N° REQ]]) - 1</f>
        <v>4</v>
      </c>
      <c r="C12" s="15" t="s">
        <v>303</v>
      </c>
      <c r="D12" s="11" t="s">
        <v>304</v>
      </c>
      <c r="E12" s="11">
        <v>990729067</v>
      </c>
      <c r="F12" s="192" t="s">
        <v>65</v>
      </c>
      <c r="G12" s="10">
        <v>509</v>
      </c>
      <c r="H12" s="286" t="s">
        <v>338</v>
      </c>
      <c r="I12" s="194" t="s">
        <v>17</v>
      </c>
      <c r="J12" s="11" t="s">
        <v>13</v>
      </c>
      <c r="K12" s="15" t="s">
        <v>300</v>
      </c>
      <c r="L12" s="11" t="s">
        <v>0</v>
      </c>
      <c r="M12" s="223" t="s">
        <v>113</v>
      </c>
      <c r="N12" s="118">
        <v>45931</v>
      </c>
      <c r="O12" s="244"/>
      <c r="P12" s="119"/>
      <c r="Q12" s="119">
        <v>262</v>
      </c>
      <c r="R12" s="329" t="s">
        <v>12</v>
      </c>
    </row>
    <row r="13" spans="1:18" x14ac:dyDescent="0.25">
      <c r="B13" s="42">
        <f>ROW() - ROW(SOLICITUD_POSTV2[[#Headers],[N° REQ]]) - 1</f>
        <v>5</v>
      </c>
      <c r="C13" s="15" t="s">
        <v>266</v>
      </c>
      <c r="D13" s="11" t="s">
        <v>293</v>
      </c>
      <c r="E13" s="11">
        <v>957941043</v>
      </c>
      <c r="F13" s="192" t="s">
        <v>97</v>
      </c>
      <c r="G13" s="10">
        <v>408</v>
      </c>
      <c r="H13" s="286" t="s">
        <v>341</v>
      </c>
      <c r="I13" s="194" t="s">
        <v>17</v>
      </c>
      <c r="J13" s="11" t="s">
        <v>20</v>
      </c>
      <c r="K13" s="15" t="s">
        <v>342</v>
      </c>
      <c r="L13" s="11" t="s">
        <v>0</v>
      </c>
      <c r="M13" s="223" t="s">
        <v>113</v>
      </c>
      <c r="N13" s="118">
        <v>45931</v>
      </c>
      <c r="O13" s="244"/>
      <c r="P13" s="119"/>
      <c r="Q13" s="119">
        <v>263</v>
      </c>
      <c r="R13" s="329" t="s">
        <v>12</v>
      </c>
    </row>
    <row r="14" spans="1:18" x14ac:dyDescent="0.25">
      <c r="B14" s="42">
        <f>ROW() - ROW(SOLICITUD_POSTV2[[#Headers],[N° REQ]]) - 1</f>
        <v>6</v>
      </c>
      <c r="C14" s="15" t="s">
        <v>295</v>
      </c>
      <c r="D14" s="11" t="s">
        <v>296</v>
      </c>
      <c r="E14" s="11">
        <v>949873501</v>
      </c>
      <c r="F14" s="192" t="s">
        <v>97</v>
      </c>
      <c r="G14" s="10">
        <v>403</v>
      </c>
      <c r="H14" s="286" t="s">
        <v>341</v>
      </c>
      <c r="I14" s="194" t="s">
        <v>17</v>
      </c>
      <c r="J14" s="11" t="s">
        <v>20</v>
      </c>
      <c r="K14" s="15" t="s">
        <v>343</v>
      </c>
      <c r="L14" s="11" t="s">
        <v>0</v>
      </c>
      <c r="M14" s="223" t="s">
        <v>113</v>
      </c>
      <c r="N14" s="118">
        <v>45932</v>
      </c>
      <c r="O14" s="244"/>
      <c r="P14" s="119"/>
      <c r="Q14" s="119">
        <v>264</v>
      </c>
      <c r="R14" s="329" t="s">
        <v>12</v>
      </c>
    </row>
    <row r="15" spans="1:18" x14ac:dyDescent="0.25">
      <c r="B15" s="42">
        <f>ROW() - ROW(SOLICITUD_POSTV2[[#Headers],[N° REQ]]) - 1</f>
        <v>7</v>
      </c>
      <c r="C15" s="9" t="s">
        <v>87</v>
      </c>
      <c r="D15" s="11">
        <v>958532380</v>
      </c>
      <c r="E15" s="11">
        <v>958532380</v>
      </c>
      <c r="F15" s="192" t="s">
        <v>57</v>
      </c>
      <c r="G15" s="10">
        <v>132</v>
      </c>
      <c r="H15" s="179" t="s">
        <v>273</v>
      </c>
      <c r="I15" s="194" t="s">
        <v>26</v>
      </c>
      <c r="J15" s="11" t="s">
        <v>11</v>
      </c>
      <c r="K15" s="15" t="s">
        <v>344</v>
      </c>
      <c r="L15" s="11" t="s">
        <v>0</v>
      </c>
      <c r="M15" s="223" t="s">
        <v>113</v>
      </c>
      <c r="N15" s="118">
        <v>45932</v>
      </c>
      <c r="O15" s="244"/>
      <c r="P15" s="119"/>
      <c r="Q15" s="119">
        <v>265</v>
      </c>
      <c r="R15" s="329" t="s">
        <v>12</v>
      </c>
    </row>
    <row r="16" spans="1:18" x14ac:dyDescent="0.25">
      <c r="B16" s="42">
        <f>ROW() - ROW(SOLICITUD_POSTV2[[#Headers],[N° REQ]]) - 1</f>
        <v>8</v>
      </c>
      <c r="C16" s="9" t="s">
        <v>161</v>
      </c>
      <c r="D16" s="11">
        <v>974613101</v>
      </c>
      <c r="E16" s="11">
        <v>974613101</v>
      </c>
      <c r="F16" s="10" t="s">
        <v>60</v>
      </c>
      <c r="G16" s="10">
        <v>140</v>
      </c>
      <c r="H16" s="179" t="s">
        <v>273</v>
      </c>
      <c r="I16" s="194" t="s">
        <v>26</v>
      </c>
      <c r="J16" s="11" t="s">
        <v>16</v>
      </c>
      <c r="K16" s="15" t="s">
        <v>345</v>
      </c>
      <c r="L16" s="11" t="s">
        <v>0</v>
      </c>
      <c r="M16" s="223" t="s">
        <v>113</v>
      </c>
      <c r="N16" s="118">
        <v>45932</v>
      </c>
      <c r="O16" s="251"/>
      <c r="P16" s="119"/>
      <c r="Q16" s="119">
        <v>266</v>
      </c>
      <c r="R16" s="329" t="s">
        <v>12</v>
      </c>
    </row>
    <row r="17" spans="2:18" x14ac:dyDescent="0.25">
      <c r="B17" s="42">
        <f>ROW() - ROW(SOLICITUD_POSTV2[[#Headers],[N° REQ]]) - 1</f>
        <v>9</v>
      </c>
      <c r="C17" s="9" t="s">
        <v>161</v>
      </c>
      <c r="D17" s="11">
        <v>974613101</v>
      </c>
      <c r="E17" s="11">
        <v>974613101</v>
      </c>
      <c r="F17" s="10" t="s">
        <v>60</v>
      </c>
      <c r="G17" s="10">
        <v>140</v>
      </c>
      <c r="H17" s="179" t="s">
        <v>273</v>
      </c>
      <c r="I17" s="194" t="s">
        <v>26</v>
      </c>
      <c r="J17" s="11" t="s">
        <v>20</v>
      </c>
      <c r="K17" s="15" t="s">
        <v>346</v>
      </c>
      <c r="L17" s="11" t="s">
        <v>0</v>
      </c>
      <c r="M17" s="223" t="s">
        <v>113</v>
      </c>
      <c r="N17" s="118">
        <v>45932</v>
      </c>
      <c r="O17" s="251"/>
      <c r="P17" s="119"/>
      <c r="Q17" s="119">
        <v>267</v>
      </c>
      <c r="R17" s="329" t="s">
        <v>12</v>
      </c>
    </row>
    <row r="18" spans="2:18" x14ac:dyDescent="0.25">
      <c r="B18" s="42">
        <f>ROW() - ROW(SOLICITUD_POSTV2[[#Headers],[N° REQ]]) - 1</f>
        <v>10</v>
      </c>
      <c r="C18" s="9" t="s">
        <v>161</v>
      </c>
      <c r="D18" s="11">
        <v>974613101</v>
      </c>
      <c r="E18" s="11">
        <v>974613101</v>
      </c>
      <c r="F18" s="10" t="s">
        <v>60</v>
      </c>
      <c r="G18" s="10">
        <v>140</v>
      </c>
      <c r="H18" s="179" t="s">
        <v>273</v>
      </c>
      <c r="I18" s="194" t="s">
        <v>26</v>
      </c>
      <c r="J18" s="11" t="s">
        <v>13</v>
      </c>
      <c r="K18" s="15" t="s">
        <v>347</v>
      </c>
      <c r="L18" s="11" t="s">
        <v>0</v>
      </c>
      <c r="M18" s="223" t="s">
        <v>113</v>
      </c>
      <c r="N18" s="118">
        <v>45932</v>
      </c>
      <c r="O18" s="251"/>
      <c r="P18" s="119"/>
      <c r="Q18" s="119">
        <v>268</v>
      </c>
      <c r="R18" s="329" t="s">
        <v>12</v>
      </c>
    </row>
    <row r="19" spans="2:18" x14ac:dyDescent="0.25">
      <c r="B19" s="42">
        <v>352</v>
      </c>
      <c r="C19" s="15" t="s">
        <v>295</v>
      </c>
      <c r="D19" s="11">
        <v>949873501</v>
      </c>
      <c r="E19" s="11">
        <v>949873501</v>
      </c>
      <c r="F19" s="192" t="s">
        <v>97</v>
      </c>
      <c r="G19" s="10">
        <v>403</v>
      </c>
      <c r="H19" s="286" t="s">
        <v>341</v>
      </c>
      <c r="I19" s="194" t="s">
        <v>17</v>
      </c>
      <c r="J19" s="11" t="s">
        <v>10</v>
      </c>
      <c r="K19" s="15" t="s">
        <v>348</v>
      </c>
      <c r="L19" s="11" t="s">
        <v>0</v>
      </c>
      <c r="M19" s="223" t="s">
        <v>113</v>
      </c>
      <c r="N19" s="118">
        <v>45932</v>
      </c>
      <c r="O19" s="244"/>
      <c r="P19" s="119"/>
      <c r="Q19" s="119">
        <v>269</v>
      </c>
      <c r="R19" s="329" t="s">
        <v>12</v>
      </c>
    </row>
    <row r="20" spans="2:18" x14ac:dyDescent="0.25">
      <c r="B20" s="42">
        <f>ROW() - ROW(SOLICITUD_POSTV2[[#Headers],[N° REQ]]) - 1</f>
        <v>12</v>
      </c>
      <c r="C20" s="9" t="s">
        <v>215</v>
      </c>
      <c r="D20" s="14" t="s">
        <v>216</v>
      </c>
      <c r="E20" s="11">
        <v>979411008</v>
      </c>
      <c r="F20" s="192" t="s">
        <v>57</v>
      </c>
      <c r="G20" s="10">
        <v>225</v>
      </c>
      <c r="H20" s="286" t="s">
        <v>329</v>
      </c>
      <c r="I20" s="194" t="s">
        <v>17</v>
      </c>
      <c r="J20" s="11" t="s">
        <v>16</v>
      </c>
      <c r="K20" s="15" t="s">
        <v>349</v>
      </c>
      <c r="L20" s="11" t="s">
        <v>0</v>
      </c>
      <c r="M20" s="223" t="s">
        <v>113</v>
      </c>
      <c r="N20" s="118">
        <v>45932</v>
      </c>
      <c r="O20" s="119"/>
      <c r="P20" s="119"/>
      <c r="Q20" s="119">
        <v>270</v>
      </c>
      <c r="R20" s="329" t="s">
        <v>12</v>
      </c>
    </row>
    <row r="21" spans="2:18" x14ac:dyDescent="0.25">
      <c r="B21" s="42">
        <f>ROW() - ROW(SOLICITUD_POSTV2[[#Headers],[N° REQ]]) - 1</f>
        <v>13</v>
      </c>
      <c r="C21" s="15" t="s">
        <v>350</v>
      </c>
      <c r="D21" s="11" t="s">
        <v>351</v>
      </c>
      <c r="E21" s="11">
        <v>965155351</v>
      </c>
      <c r="F21" s="192" t="s">
        <v>60</v>
      </c>
      <c r="G21" s="188">
        <v>133</v>
      </c>
      <c r="H21" s="313" t="s">
        <v>77</v>
      </c>
      <c r="I21" s="192" t="s">
        <v>17</v>
      </c>
      <c r="J21" s="11" t="s">
        <v>20</v>
      </c>
      <c r="K21" s="15" t="s">
        <v>352</v>
      </c>
      <c r="L21" s="11" t="s">
        <v>0</v>
      </c>
      <c r="M21" s="223" t="s">
        <v>113</v>
      </c>
      <c r="N21" s="118">
        <v>45943</v>
      </c>
      <c r="O21" s="187"/>
      <c r="P21" s="119"/>
      <c r="Q21" s="119">
        <v>271</v>
      </c>
      <c r="R21" s="329" t="s">
        <v>12</v>
      </c>
    </row>
    <row r="22" spans="2:18" x14ac:dyDescent="0.25">
      <c r="B22" s="42">
        <f>ROW() - ROW(SOLICITUD_POSTV2[[#Headers],[N° REQ]]) - 1</f>
        <v>14</v>
      </c>
      <c r="C22" s="9" t="s">
        <v>63</v>
      </c>
      <c r="D22" s="10" t="s">
        <v>64</v>
      </c>
      <c r="E22" s="11">
        <v>997281916</v>
      </c>
      <c r="F22" s="192" t="s">
        <v>65</v>
      </c>
      <c r="G22" s="10">
        <v>413</v>
      </c>
      <c r="H22" s="179" t="s">
        <v>273</v>
      </c>
      <c r="I22" s="192" t="s">
        <v>17</v>
      </c>
      <c r="J22" s="11" t="s">
        <v>16</v>
      </c>
      <c r="K22" s="314" t="s">
        <v>21</v>
      </c>
      <c r="L22" s="11" t="s">
        <v>0</v>
      </c>
      <c r="M22" s="223" t="s">
        <v>113</v>
      </c>
      <c r="N22" s="118">
        <v>45942</v>
      </c>
      <c r="O22" s="187"/>
      <c r="P22" s="119"/>
      <c r="Q22" s="119">
        <v>272</v>
      </c>
      <c r="R22" s="329" t="s">
        <v>12</v>
      </c>
    </row>
    <row r="23" spans="2:18" x14ac:dyDescent="0.25">
      <c r="B23" s="42">
        <f>ROW() - ROW(SOLICITUD_POSTV2[[#Headers],[N° REQ]]) - 1</f>
        <v>15</v>
      </c>
      <c r="C23" s="9" t="s">
        <v>91</v>
      </c>
      <c r="D23" s="14" t="s">
        <v>92</v>
      </c>
      <c r="E23" s="11">
        <v>920152216</v>
      </c>
      <c r="F23" s="192" t="s">
        <v>53</v>
      </c>
      <c r="G23" s="10">
        <v>318</v>
      </c>
      <c r="H23" s="179" t="s">
        <v>273</v>
      </c>
      <c r="I23" s="194" t="s">
        <v>24</v>
      </c>
      <c r="J23" s="11" t="s">
        <v>20</v>
      </c>
      <c r="K23" s="15" t="s">
        <v>353</v>
      </c>
      <c r="L23" s="119" t="s">
        <v>0</v>
      </c>
      <c r="M23" s="223" t="s">
        <v>113</v>
      </c>
      <c r="N23" s="118">
        <v>45950</v>
      </c>
      <c r="O23" s="187"/>
      <c r="P23" s="119"/>
      <c r="Q23" s="119">
        <v>273</v>
      </c>
      <c r="R23" s="329" t="s">
        <v>12</v>
      </c>
    </row>
    <row r="24" spans="2:18" x14ac:dyDescent="0.25">
      <c r="B24" s="42">
        <f>ROW() - ROW(SOLICITUD_POSTV2[[#Headers],[N° REQ]]) - 1</f>
        <v>16</v>
      </c>
      <c r="C24" s="9" t="s">
        <v>66</v>
      </c>
      <c r="D24" s="10" t="s">
        <v>67</v>
      </c>
      <c r="E24" s="11">
        <v>968703582</v>
      </c>
      <c r="F24" s="192" t="s">
        <v>60</v>
      </c>
      <c r="G24" s="10">
        <v>538</v>
      </c>
      <c r="H24" s="179" t="s">
        <v>273</v>
      </c>
      <c r="I24" s="194" t="s">
        <v>25</v>
      </c>
      <c r="J24" s="11" t="s">
        <v>20</v>
      </c>
      <c r="K24" s="15" t="s">
        <v>354</v>
      </c>
      <c r="L24" s="11" t="s">
        <v>0</v>
      </c>
      <c r="M24" s="223" t="s">
        <v>113</v>
      </c>
      <c r="N24" s="118">
        <v>45950</v>
      </c>
      <c r="O24" s="119"/>
      <c r="P24" s="119"/>
      <c r="Q24" s="119">
        <v>274</v>
      </c>
      <c r="R24" s="329" t="s">
        <v>12</v>
      </c>
    </row>
    <row r="25" spans="2:18" x14ac:dyDescent="0.25">
      <c r="B25" s="42">
        <f>ROW() - ROW(SOLICITUD_POSTV2[[#Headers],[N° REQ]]) - 1</f>
        <v>17</v>
      </c>
      <c r="C25" s="9" t="s">
        <v>51</v>
      </c>
      <c r="D25" s="14" t="s">
        <v>52</v>
      </c>
      <c r="E25" s="11">
        <v>965073465</v>
      </c>
      <c r="F25" s="192" t="s">
        <v>53</v>
      </c>
      <c r="G25" s="11">
        <v>219</v>
      </c>
      <c r="H25" s="201" t="s">
        <v>273</v>
      </c>
      <c r="I25" s="194" t="s">
        <v>24</v>
      </c>
      <c r="J25" s="11" t="s">
        <v>10</v>
      </c>
      <c r="K25" s="15" t="s">
        <v>355</v>
      </c>
      <c r="L25" s="11" t="s">
        <v>0</v>
      </c>
      <c r="M25" s="223" t="s">
        <v>113</v>
      </c>
      <c r="N25" s="118">
        <v>45951</v>
      </c>
      <c r="O25" s="119"/>
      <c r="P25" s="119"/>
      <c r="Q25" s="119">
        <v>275</v>
      </c>
      <c r="R25" s="329" t="s">
        <v>12</v>
      </c>
    </row>
    <row r="26" spans="2:18" x14ac:dyDescent="0.25">
      <c r="B26" s="42">
        <f>ROW() - ROW(SOLICITUD_POSTV2[[#Headers],[N° REQ]]) - 1</f>
        <v>18</v>
      </c>
      <c r="C26" s="15" t="s">
        <v>301</v>
      </c>
      <c r="D26" s="11" t="s">
        <v>302</v>
      </c>
      <c r="E26" s="11">
        <v>944250850</v>
      </c>
      <c r="F26" s="192" t="s">
        <v>65</v>
      </c>
      <c r="G26" s="10">
        <v>211</v>
      </c>
      <c r="H26" s="38" t="s">
        <v>77</v>
      </c>
      <c r="I26" s="194" t="s">
        <v>17</v>
      </c>
      <c r="J26" s="11" t="s">
        <v>13</v>
      </c>
      <c r="K26" s="15" t="s">
        <v>356</v>
      </c>
      <c r="L26" s="11" t="s">
        <v>2</v>
      </c>
      <c r="M26" s="237" t="s">
        <v>192</v>
      </c>
      <c r="N26" s="236">
        <v>45947</v>
      </c>
      <c r="O26" s="238" t="s">
        <v>357</v>
      </c>
      <c r="P26" s="234"/>
      <c r="Q26" s="234"/>
      <c r="R26" s="235"/>
    </row>
    <row r="27" spans="2:18" x14ac:dyDescent="0.25">
      <c r="B27" s="16">
        <f>ROW() - ROW(SOLICITUD_POSTV2[[#Headers],[N° REQ]]) - 1</f>
        <v>19</v>
      </c>
      <c r="C27" s="12" t="s">
        <v>197</v>
      </c>
      <c r="D27" s="1" t="s">
        <v>198</v>
      </c>
      <c r="E27" s="13">
        <v>971362197</v>
      </c>
      <c r="F27" s="315" t="s">
        <v>57</v>
      </c>
      <c r="G27" s="1">
        <v>527</v>
      </c>
      <c r="H27" s="21" t="s">
        <v>105</v>
      </c>
      <c r="I27" s="200" t="s">
        <v>17</v>
      </c>
      <c r="J27" s="25" t="s">
        <v>22</v>
      </c>
      <c r="K27" s="185" t="s">
        <v>358</v>
      </c>
      <c r="L27" s="11" t="s">
        <v>2</v>
      </c>
      <c r="M27" s="237" t="s">
        <v>192</v>
      </c>
      <c r="N27" s="236">
        <v>45952</v>
      </c>
      <c r="O27" s="238" t="s">
        <v>359</v>
      </c>
      <c r="P27" s="234"/>
      <c r="Q27" s="234"/>
      <c r="R27" s="235"/>
    </row>
    <row r="28" spans="2:18" x14ac:dyDescent="0.25">
      <c r="B28" s="42">
        <f>ROW() - ROW(SOLICITUD_POSTV2[[#Headers],[N° REQ]]) - 1</f>
        <v>20</v>
      </c>
      <c r="C28" s="15" t="s">
        <v>298</v>
      </c>
      <c r="D28" s="11" t="s">
        <v>299</v>
      </c>
      <c r="E28" s="11">
        <v>999916976</v>
      </c>
      <c r="F28" s="192" t="s">
        <v>53</v>
      </c>
      <c r="G28" s="10">
        <v>124</v>
      </c>
      <c r="H28" s="38" t="s">
        <v>77</v>
      </c>
      <c r="I28" s="194" t="s">
        <v>24</v>
      </c>
      <c r="J28" s="11" t="s">
        <v>16</v>
      </c>
      <c r="K28" s="15" t="s">
        <v>360</v>
      </c>
      <c r="L28" s="11" t="s">
        <v>2</v>
      </c>
      <c r="M28" s="237" t="s">
        <v>192</v>
      </c>
      <c r="N28" s="236">
        <v>45953</v>
      </c>
      <c r="O28" s="238" t="s">
        <v>361</v>
      </c>
      <c r="P28" s="234"/>
      <c r="Q28" s="234"/>
      <c r="R28" s="235"/>
    </row>
    <row r="29" spans="2:18" x14ac:dyDescent="0.25">
      <c r="B29" s="42">
        <f>ROW() - ROW(SOLICITUD_POSTV2[[#Headers],[N° REQ]]) - 1</f>
        <v>21</v>
      </c>
      <c r="C29" s="15" t="s">
        <v>298</v>
      </c>
      <c r="D29" s="11" t="s">
        <v>299</v>
      </c>
      <c r="E29" s="11">
        <v>999916976</v>
      </c>
      <c r="F29" s="10" t="s">
        <v>53</v>
      </c>
      <c r="G29" s="24">
        <v>124</v>
      </c>
      <c r="H29" s="17" t="s">
        <v>77</v>
      </c>
      <c r="I29" s="316" t="s">
        <v>24</v>
      </c>
      <c r="J29" s="11" t="s">
        <v>13</v>
      </c>
      <c r="K29" s="15" t="s">
        <v>362</v>
      </c>
      <c r="L29" s="11" t="s">
        <v>2</v>
      </c>
      <c r="M29" s="237" t="s">
        <v>192</v>
      </c>
      <c r="N29" s="236">
        <v>45953</v>
      </c>
      <c r="O29" s="238" t="s">
        <v>361</v>
      </c>
      <c r="P29" s="234"/>
      <c r="Q29" s="234"/>
      <c r="R29" s="235"/>
    </row>
    <row r="30" spans="2:18" x14ac:dyDescent="0.25">
      <c r="B30" s="42">
        <f>ROW() - ROW(SOLICITUD_POSTV2[[#Headers],[N° REQ]]) - 1</f>
        <v>22</v>
      </c>
      <c r="C30" s="15" t="s">
        <v>363</v>
      </c>
      <c r="D30" s="11" t="s">
        <v>364</v>
      </c>
      <c r="E30" s="16">
        <v>973720248</v>
      </c>
      <c r="F30" s="11" t="s">
        <v>365</v>
      </c>
      <c r="G30" s="11">
        <v>421</v>
      </c>
      <c r="H30" s="17" t="s">
        <v>77</v>
      </c>
      <c r="I30" s="194" t="s">
        <v>17</v>
      </c>
      <c r="J30" s="11" t="s">
        <v>18</v>
      </c>
      <c r="K30" s="15" t="s">
        <v>366</v>
      </c>
      <c r="L30" s="11" t="s">
        <v>0</v>
      </c>
      <c r="M30" s="223" t="s">
        <v>113</v>
      </c>
      <c r="N30" s="118">
        <v>45952</v>
      </c>
      <c r="O30" s="119"/>
      <c r="P30" s="119"/>
      <c r="Q30" s="119">
        <v>276</v>
      </c>
      <c r="R30" s="329" t="s">
        <v>12</v>
      </c>
    </row>
    <row r="31" spans="2:18" x14ac:dyDescent="0.25">
      <c r="B31" s="42">
        <f>ROW() - ROW(SOLICITUD_POSTV2[[#Headers],[N° REQ]]) - 1</f>
        <v>23</v>
      </c>
      <c r="C31" s="15" t="s">
        <v>363</v>
      </c>
      <c r="D31" s="11" t="s">
        <v>364</v>
      </c>
      <c r="E31" s="11">
        <v>973720248</v>
      </c>
      <c r="F31" s="11" t="s">
        <v>365</v>
      </c>
      <c r="G31" s="11">
        <v>421</v>
      </c>
      <c r="H31" s="17" t="s">
        <v>77</v>
      </c>
      <c r="I31" s="194" t="s">
        <v>17</v>
      </c>
      <c r="J31" s="11" t="s">
        <v>11</v>
      </c>
      <c r="K31" s="15" t="s">
        <v>367</v>
      </c>
      <c r="L31" s="11" t="s">
        <v>1</v>
      </c>
      <c r="M31" s="311" t="s">
        <v>113</v>
      </c>
      <c r="N31" s="304">
        <v>45952</v>
      </c>
      <c r="O31" s="306" t="s">
        <v>368</v>
      </c>
      <c r="P31" s="180"/>
      <c r="Q31" s="180"/>
      <c r="R31" s="305"/>
    </row>
    <row r="32" spans="2:18" x14ac:dyDescent="0.25">
      <c r="B32" s="42">
        <f>ROW() - ROW(SOLICITUD_POSTV2[[#Headers],[N° REQ]]) - 1</f>
        <v>24</v>
      </c>
      <c r="C32" s="9" t="s">
        <v>226</v>
      </c>
      <c r="D32" s="14" t="s">
        <v>227</v>
      </c>
      <c r="E32" s="11">
        <v>976259434</v>
      </c>
      <c r="F32" s="192" t="s">
        <v>60</v>
      </c>
      <c r="G32" s="10">
        <v>240</v>
      </c>
      <c r="H32" s="179" t="s">
        <v>273</v>
      </c>
      <c r="I32" s="194" t="s">
        <v>24</v>
      </c>
      <c r="J32" s="11" t="s">
        <v>16</v>
      </c>
      <c r="K32" s="15" t="s">
        <v>369</v>
      </c>
      <c r="L32" s="11" t="s">
        <v>2</v>
      </c>
      <c r="M32" s="237" t="s">
        <v>192</v>
      </c>
      <c r="N32" s="236">
        <v>45957</v>
      </c>
      <c r="O32" s="238" t="s">
        <v>361</v>
      </c>
      <c r="P32" s="234"/>
      <c r="Q32" s="234"/>
      <c r="R32" s="235"/>
    </row>
  </sheetData>
  <mergeCells count="4">
    <mergeCell ref="A1:B4"/>
    <mergeCell ref="C2:H4"/>
    <mergeCell ref="C5:H5"/>
    <mergeCell ref="M2:M5"/>
  </mergeCells>
  <conditionalFormatting sqref="L8:L32">
    <cfRule type="containsText" dxfId="8" priority="26" operator="containsText" text="TERMINADO">
      <formula>NOT(ISERROR(SEARCH("TERMINADO",L8)))</formula>
    </cfRule>
  </conditionalFormatting>
  <conditionalFormatting sqref="L8:L32">
    <cfRule type="containsText" dxfId="7" priority="25" operator="containsText" text="EN EJECUCION">
      <formula>NOT(ISERROR(SEARCH("EN EJECUCION",L8)))</formula>
    </cfRule>
  </conditionalFormatting>
  <conditionalFormatting sqref="L8:L32">
    <cfRule type="containsText" dxfId="6" priority="27" operator="containsText" text="PENDIENTE">
      <formula>NOT(ISERROR(SEARCH("PENDIENTE",L8)))</formula>
    </cfRule>
  </conditionalFormatting>
  <pageMargins left="0.7" right="0.7" top="0.75" bottom="0.75" header="0.3" footer="0.3"/>
  <ignoredErrors>
    <ignoredError sqref="B8:B3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8E79-39EF-4B4F-BF90-B227225F40B4}">
  <sheetPr>
    <tabColor rgb="FF00B0F0"/>
  </sheetPr>
  <dimension ref="B2:R241"/>
  <sheetViews>
    <sheetView workbookViewId="0">
      <pane ySplit="6" topLeftCell="A7" activePane="bottomLeft" state="frozen"/>
      <selection pane="bottomLeft" activeCell="C15" sqref="C15"/>
    </sheetView>
  </sheetViews>
  <sheetFormatPr baseColWidth="10" defaultColWidth="16.6640625" defaultRowHeight="12" x14ac:dyDescent="0.25"/>
  <cols>
    <col min="1" max="1" width="2.6640625" style="3" customWidth="1"/>
    <col min="2" max="2" width="11.33203125" style="3" customWidth="1"/>
    <col min="3" max="3" width="38.109375" style="212" customWidth="1"/>
    <col min="4" max="4" width="10.5546875" style="39" customWidth="1"/>
    <col min="5" max="5" width="16.6640625" style="39" customWidth="1"/>
    <col min="6" max="6" width="15.88671875" style="39" customWidth="1"/>
    <col min="7" max="7" width="42.6640625" style="39" customWidth="1"/>
    <col min="8" max="8" width="14" style="3" customWidth="1"/>
    <col min="9" max="9" width="20.5546875" style="3" customWidth="1"/>
    <col min="10" max="10" width="16.6640625" style="4" customWidth="1"/>
    <col min="11" max="11" width="18.33203125" style="4" customWidth="1"/>
    <col min="12" max="12" width="10.5546875" style="4" customWidth="1"/>
    <col min="13" max="13" width="16.6640625" style="4" customWidth="1"/>
    <col min="14" max="14" width="13.88671875" style="4" customWidth="1"/>
    <col min="15" max="15" width="19.5546875" style="3" customWidth="1"/>
    <col min="16" max="16" width="19" style="3" customWidth="1"/>
    <col min="17" max="17" width="18.109375" style="3" customWidth="1"/>
    <col min="18" max="18" width="17.44140625" style="3" customWidth="1"/>
    <col min="19" max="16384" width="16.6640625" style="3"/>
  </cols>
  <sheetData>
    <row r="2" spans="2:18" x14ac:dyDescent="0.25">
      <c r="B2" s="322"/>
      <c r="C2" s="319" t="s">
        <v>370</v>
      </c>
      <c r="D2" s="319"/>
      <c r="E2" s="319"/>
      <c r="F2" s="319"/>
      <c r="G2" s="319"/>
      <c r="N2" s="319" t="s">
        <v>371</v>
      </c>
      <c r="O2" s="319"/>
      <c r="P2" s="319"/>
      <c r="Q2" s="319"/>
      <c r="R2" s="319"/>
    </row>
    <row r="3" spans="2:18" x14ac:dyDescent="0.25">
      <c r="B3" s="322"/>
      <c r="C3" s="319"/>
      <c r="D3" s="319"/>
      <c r="E3" s="319"/>
      <c r="F3" s="319"/>
      <c r="G3" s="319"/>
      <c r="H3" s="27"/>
      <c r="N3" s="319"/>
      <c r="O3" s="319"/>
      <c r="P3" s="319"/>
      <c r="Q3" s="319"/>
      <c r="R3" s="319"/>
    </row>
    <row r="4" spans="2:18" x14ac:dyDescent="0.25">
      <c r="B4" s="322"/>
      <c r="C4" s="319"/>
      <c r="D4" s="319"/>
      <c r="E4" s="319"/>
      <c r="F4" s="319"/>
      <c r="G4" s="319"/>
      <c r="H4" s="27"/>
      <c r="N4" s="319"/>
      <c r="O4" s="319"/>
      <c r="P4" s="319"/>
      <c r="Q4" s="319"/>
      <c r="R4" s="319"/>
    </row>
    <row r="5" spans="2:18" x14ac:dyDescent="0.25">
      <c r="N5" s="28"/>
      <c r="O5" s="28"/>
      <c r="P5" s="28"/>
      <c r="Q5" s="28"/>
      <c r="R5" s="28"/>
    </row>
    <row r="6" spans="2:18" s="29" customFormat="1" ht="36" x14ac:dyDescent="0.25">
      <c r="B6" s="275" t="s">
        <v>372</v>
      </c>
      <c r="C6" s="271" t="s">
        <v>373</v>
      </c>
      <c r="D6" s="270" t="s">
        <v>27</v>
      </c>
      <c r="E6" s="270" t="s">
        <v>374</v>
      </c>
      <c r="F6" s="270" t="s">
        <v>375</v>
      </c>
      <c r="G6" s="270" t="s">
        <v>23</v>
      </c>
      <c r="H6" s="270" t="s">
        <v>28</v>
      </c>
      <c r="I6" s="270" t="s">
        <v>44</v>
      </c>
      <c r="J6" s="270" t="s">
        <v>45</v>
      </c>
      <c r="K6" s="270" t="s">
        <v>46</v>
      </c>
      <c r="L6" s="270" t="s">
        <v>47</v>
      </c>
      <c r="M6" s="270" t="s">
        <v>376</v>
      </c>
      <c r="N6" s="272" t="s">
        <v>29</v>
      </c>
      <c r="O6" s="272" t="s">
        <v>30</v>
      </c>
      <c r="P6" s="272" t="s">
        <v>31</v>
      </c>
      <c r="Q6" s="272" t="s">
        <v>32</v>
      </c>
      <c r="R6" s="280" t="s">
        <v>33</v>
      </c>
    </row>
    <row r="7" spans="2:18" ht="12" customHeight="1" x14ac:dyDescent="0.25">
      <c r="B7" s="276">
        <v>1</v>
      </c>
      <c r="C7" s="255" t="s">
        <v>377</v>
      </c>
      <c r="D7" s="256" t="s">
        <v>378</v>
      </c>
      <c r="E7" s="257">
        <v>940840754</v>
      </c>
      <c r="F7" s="257"/>
      <c r="G7" s="220" t="s">
        <v>379</v>
      </c>
      <c r="H7" s="1" t="s">
        <v>34</v>
      </c>
      <c r="I7" s="1" t="s">
        <v>97</v>
      </c>
      <c r="J7" s="1">
        <v>101</v>
      </c>
      <c r="K7" s="17" t="s">
        <v>77</v>
      </c>
      <c r="L7" s="13" t="s">
        <v>380</v>
      </c>
      <c r="M7" s="40">
        <v>45789</v>
      </c>
      <c r="N7" s="40">
        <f t="shared" ref="N7:N38" ca="1" si="0">+TODAY()</f>
        <v>45960</v>
      </c>
      <c r="O7" s="30">
        <f t="shared" ref="O7:O38" ca="1" si="1">+((N7-M7)/365)</f>
        <v>0.46849315068493153</v>
      </c>
      <c r="P7" s="13" t="s">
        <v>36</v>
      </c>
      <c r="Q7" s="30">
        <f t="shared" ref="Q7:Q38" ca="1" si="2">+((N7-M7)/365)</f>
        <v>0.46849315068493153</v>
      </c>
      <c r="R7" s="281" t="s">
        <v>36</v>
      </c>
    </row>
    <row r="8" spans="2:18" ht="12" customHeight="1" x14ac:dyDescent="0.3">
      <c r="B8" s="277">
        <v>2</v>
      </c>
      <c r="C8" s="23" t="s">
        <v>381</v>
      </c>
      <c r="D8" s="208" t="s">
        <v>382</v>
      </c>
      <c r="E8" s="16">
        <v>958109531</v>
      </c>
      <c r="F8" s="16"/>
      <c r="G8" s="232" t="s">
        <v>383</v>
      </c>
      <c r="H8" s="1" t="s">
        <v>34</v>
      </c>
      <c r="I8" s="1" t="s">
        <v>97</v>
      </c>
      <c r="J8" s="1">
        <v>102</v>
      </c>
      <c r="K8" s="17" t="s">
        <v>77</v>
      </c>
      <c r="L8" s="117" t="s">
        <v>380</v>
      </c>
      <c r="M8" s="40">
        <v>45877</v>
      </c>
      <c r="N8" s="40">
        <f t="shared" ca="1" si="0"/>
        <v>45960</v>
      </c>
      <c r="O8" s="30">
        <f t="shared" ca="1" si="1"/>
        <v>0.22739726027397261</v>
      </c>
      <c r="P8" s="117" t="s">
        <v>36</v>
      </c>
      <c r="Q8" s="30">
        <f t="shared" ca="1" si="2"/>
        <v>0.22739726027397261</v>
      </c>
      <c r="R8" s="282" t="s">
        <v>36</v>
      </c>
    </row>
    <row r="9" spans="2:18" ht="12" customHeight="1" x14ac:dyDescent="0.3">
      <c r="B9" s="277">
        <v>3</v>
      </c>
      <c r="C9" s="241" t="s">
        <v>384</v>
      </c>
      <c r="D9" s="246" t="s">
        <v>385</v>
      </c>
      <c r="E9" s="16">
        <v>950151720</v>
      </c>
      <c r="F9" s="16"/>
      <c r="G9" s="242" t="s">
        <v>386</v>
      </c>
      <c r="H9" s="1" t="s">
        <v>34</v>
      </c>
      <c r="I9" s="1" t="s">
        <v>97</v>
      </c>
      <c r="J9" s="1">
        <v>103</v>
      </c>
      <c r="K9" s="17" t="s">
        <v>77</v>
      </c>
      <c r="L9" s="117" t="s">
        <v>380</v>
      </c>
      <c r="M9" s="40">
        <v>45912</v>
      </c>
      <c r="N9" s="40">
        <f t="shared" ca="1" si="0"/>
        <v>45960</v>
      </c>
      <c r="O9" s="30">
        <f t="shared" ca="1" si="1"/>
        <v>0.13150684931506848</v>
      </c>
      <c r="P9" s="117" t="s">
        <v>36</v>
      </c>
      <c r="Q9" s="30">
        <f t="shared" ca="1" si="2"/>
        <v>0.13150684931506848</v>
      </c>
      <c r="R9" s="282" t="s">
        <v>36</v>
      </c>
    </row>
    <row r="10" spans="2:18" ht="12" customHeight="1" x14ac:dyDescent="0.25">
      <c r="B10" s="277">
        <v>4</v>
      </c>
      <c r="C10" s="210" t="s">
        <v>387</v>
      </c>
      <c r="D10" s="202" t="s">
        <v>388</v>
      </c>
      <c r="E10" s="16">
        <v>963433671</v>
      </c>
      <c r="F10" s="16">
        <v>979417472</v>
      </c>
      <c r="G10" s="16"/>
      <c r="H10" s="1" t="s">
        <v>34</v>
      </c>
      <c r="I10" s="1" t="s">
        <v>169</v>
      </c>
      <c r="J10" s="1">
        <v>104</v>
      </c>
      <c r="K10" s="19" t="s">
        <v>170</v>
      </c>
      <c r="L10" s="13" t="s">
        <v>380</v>
      </c>
      <c r="M10" s="40">
        <v>45582</v>
      </c>
      <c r="N10" s="40">
        <f t="shared" ca="1" si="0"/>
        <v>45960</v>
      </c>
      <c r="O10" s="30">
        <f t="shared" ca="1" si="1"/>
        <v>1.0356164383561643</v>
      </c>
      <c r="P10" s="13" t="s">
        <v>36</v>
      </c>
      <c r="Q10" s="30">
        <f t="shared" ca="1" si="2"/>
        <v>1.0356164383561643</v>
      </c>
      <c r="R10" s="281" t="s">
        <v>36</v>
      </c>
    </row>
    <row r="11" spans="2:18" ht="12" customHeight="1" x14ac:dyDescent="0.25">
      <c r="B11" s="277">
        <v>5</v>
      </c>
      <c r="C11" s="210" t="s">
        <v>167</v>
      </c>
      <c r="D11" s="202" t="s">
        <v>168</v>
      </c>
      <c r="E11" s="16">
        <v>973660982</v>
      </c>
      <c r="F11" s="16">
        <v>97366084</v>
      </c>
      <c r="G11" s="35" t="s">
        <v>389</v>
      </c>
      <c r="H11" s="1" t="s">
        <v>34</v>
      </c>
      <c r="I11" s="1" t="s">
        <v>169</v>
      </c>
      <c r="J11" s="1">
        <v>105</v>
      </c>
      <c r="K11" s="19" t="s">
        <v>170</v>
      </c>
      <c r="L11" s="13" t="s">
        <v>380</v>
      </c>
      <c r="M11" s="40">
        <v>45582</v>
      </c>
      <c r="N11" s="40">
        <f t="shared" ca="1" si="0"/>
        <v>45960</v>
      </c>
      <c r="O11" s="30">
        <f t="shared" ca="1" si="1"/>
        <v>1.0356164383561643</v>
      </c>
      <c r="P11" s="13" t="s">
        <v>36</v>
      </c>
      <c r="Q11" s="30">
        <f t="shared" ca="1" si="2"/>
        <v>1.0356164383561643</v>
      </c>
      <c r="R11" s="281" t="s">
        <v>36</v>
      </c>
    </row>
    <row r="12" spans="2:18" ht="12" customHeight="1" x14ac:dyDescent="0.3">
      <c r="B12" s="277">
        <v>6</v>
      </c>
      <c r="C12" s="241" t="s">
        <v>390</v>
      </c>
      <c r="D12" s="246" t="s">
        <v>391</v>
      </c>
      <c r="E12" s="16">
        <v>949441436</v>
      </c>
      <c r="F12" s="16"/>
      <c r="G12" s="242" t="s">
        <v>392</v>
      </c>
      <c r="H12" s="1" t="s">
        <v>34</v>
      </c>
      <c r="I12" s="1" t="s">
        <v>97</v>
      </c>
      <c r="J12" s="1">
        <v>106</v>
      </c>
      <c r="K12" s="17" t="s">
        <v>77</v>
      </c>
      <c r="L12" s="13" t="s">
        <v>380</v>
      </c>
      <c r="M12" s="40">
        <v>45894</v>
      </c>
      <c r="N12" s="40">
        <f t="shared" ca="1" si="0"/>
        <v>45960</v>
      </c>
      <c r="O12" s="30">
        <f t="shared" ca="1" si="1"/>
        <v>0.18082191780821918</v>
      </c>
      <c r="P12" s="13" t="s">
        <v>36</v>
      </c>
      <c r="Q12" s="30">
        <f t="shared" ca="1" si="2"/>
        <v>0.18082191780821918</v>
      </c>
      <c r="R12" s="281" t="s">
        <v>36</v>
      </c>
    </row>
    <row r="13" spans="2:18" ht="12" customHeight="1" x14ac:dyDescent="0.25">
      <c r="B13" s="277">
        <v>7</v>
      </c>
      <c r="C13" s="228" t="s">
        <v>330</v>
      </c>
      <c r="D13" s="203" t="s">
        <v>331</v>
      </c>
      <c r="E13" s="16">
        <v>945160056</v>
      </c>
      <c r="F13" s="16"/>
      <c r="G13" s="245" t="s">
        <v>393</v>
      </c>
      <c r="H13" s="1" t="s">
        <v>34</v>
      </c>
      <c r="I13" s="1" t="s">
        <v>97</v>
      </c>
      <c r="J13" s="1">
        <v>107</v>
      </c>
      <c r="K13" s="17" t="s">
        <v>77</v>
      </c>
      <c r="L13" s="13" t="s">
        <v>380</v>
      </c>
      <c r="M13" s="40">
        <v>45824</v>
      </c>
      <c r="N13" s="40">
        <f t="shared" ca="1" si="0"/>
        <v>45960</v>
      </c>
      <c r="O13" s="30">
        <f t="shared" ca="1" si="1"/>
        <v>0.37260273972602742</v>
      </c>
      <c r="P13" s="13" t="s">
        <v>36</v>
      </c>
      <c r="Q13" s="30">
        <f t="shared" ca="1" si="2"/>
        <v>0.37260273972602742</v>
      </c>
      <c r="R13" s="281" t="s">
        <v>36</v>
      </c>
    </row>
    <row r="14" spans="2:18" ht="12" customHeight="1" x14ac:dyDescent="0.25">
      <c r="B14" s="277">
        <v>8</v>
      </c>
      <c r="C14" s="227" t="s">
        <v>394</v>
      </c>
      <c r="D14" s="204" t="s">
        <v>395</v>
      </c>
      <c r="E14" s="16">
        <v>981585049</v>
      </c>
      <c r="F14" s="16">
        <v>942004283</v>
      </c>
      <c r="G14" s="221"/>
      <c r="H14" s="1" t="s">
        <v>34</v>
      </c>
      <c r="I14" s="1" t="s">
        <v>97</v>
      </c>
      <c r="J14" s="1">
        <v>108</v>
      </c>
      <c r="K14" s="17" t="s">
        <v>77</v>
      </c>
      <c r="L14" s="13" t="s">
        <v>380</v>
      </c>
      <c r="M14" s="40">
        <v>45737</v>
      </c>
      <c r="N14" s="40">
        <f t="shared" ca="1" si="0"/>
        <v>45960</v>
      </c>
      <c r="O14" s="30">
        <f t="shared" ca="1" si="1"/>
        <v>0.61095890410958908</v>
      </c>
      <c r="P14" s="13" t="s">
        <v>36</v>
      </c>
      <c r="Q14" s="30">
        <f t="shared" ca="1" si="2"/>
        <v>0.61095890410958908</v>
      </c>
      <c r="R14" s="281" t="s">
        <v>36</v>
      </c>
    </row>
    <row r="15" spans="2:18" ht="12" customHeight="1" x14ac:dyDescent="0.25">
      <c r="B15" s="277">
        <v>9</v>
      </c>
      <c r="C15" s="227" t="s">
        <v>322</v>
      </c>
      <c r="D15" s="204" t="s">
        <v>323</v>
      </c>
      <c r="E15" s="16">
        <v>949988918</v>
      </c>
      <c r="F15" s="16"/>
      <c r="G15" s="258" t="s">
        <v>396</v>
      </c>
      <c r="H15" s="1" t="s">
        <v>34</v>
      </c>
      <c r="I15" s="1" t="s">
        <v>65</v>
      </c>
      <c r="J15" s="1">
        <v>109</v>
      </c>
      <c r="K15" s="17" t="s">
        <v>77</v>
      </c>
      <c r="L15" s="13" t="s">
        <v>380</v>
      </c>
      <c r="M15" s="40">
        <v>45793</v>
      </c>
      <c r="N15" s="40">
        <f t="shared" ca="1" si="0"/>
        <v>45960</v>
      </c>
      <c r="O15" s="30">
        <f t="shared" ca="1" si="1"/>
        <v>0.45753424657534247</v>
      </c>
      <c r="P15" s="13" t="s">
        <v>36</v>
      </c>
      <c r="Q15" s="30">
        <f t="shared" ca="1" si="2"/>
        <v>0.45753424657534247</v>
      </c>
      <c r="R15" s="281" t="s">
        <v>36</v>
      </c>
    </row>
    <row r="16" spans="2:18" s="34" customFormat="1" ht="12" customHeight="1" x14ac:dyDescent="0.25">
      <c r="B16" s="278">
        <v>10</v>
      </c>
      <c r="C16" s="259" t="s">
        <v>397</v>
      </c>
      <c r="D16" s="260" t="s">
        <v>398</v>
      </c>
      <c r="E16" s="31">
        <v>979537268</v>
      </c>
      <c r="F16" s="31">
        <v>99800126</v>
      </c>
      <c r="G16" s="221"/>
      <c r="H16" s="33" t="s">
        <v>34</v>
      </c>
      <c r="I16" s="33" t="s">
        <v>65</v>
      </c>
      <c r="J16" s="33">
        <v>110</v>
      </c>
      <c r="K16" s="20" t="s">
        <v>82</v>
      </c>
      <c r="L16" s="32" t="s">
        <v>399</v>
      </c>
      <c r="M16" s="261">
        <v>45716</v>
      </c>
      <c r="N16" s="261">
        <f t="shared" ca="1" si="0"/>
        <v>45960</v>
      </c>
      <c r="O16" s="262">
        <f t="shared" ca="1" si="1"/>
        <v>0.66849315068493154</v>
      </c>
      <c r="P16" s="32" t="s">
        <v>36</v>
      </c>
      <c r="Q16" s="262">
        <f t="shared" ca="1" si="2"/>
        <v>0.66849315068493154</v>
      </c>
      <c r="R16" s="283" t="s">
        <v>36</v>
      </c>
    </row>
    <row r="17" spans="2:18" ht="12" customHeight="1" x14ac:dyDescent="0.25">
      <c r="B17" s="277">
        <v>11</v>
      </c>
      <c r="C17" s="227" t="s">
        <v>316</v>
      </c>
      <c r="D17" s="204" t="s">
        <v>317</v>
      </c>
      <c r="E17" s="16">
        <v>955197169</v>
      </c>
      <c r="F17" s="16"/>
      <c r="G17" s="220" t="s">
        <v>400</v>
      </c>
      <c r="H17" s="1" t="s">
        <v>34</v>
      </c>
      <c r="I17" s="1" t="s">
        <v>65</v>
      </c>
      <c r="J17" s="1">
        <v>111</v>
      </c>
      <c r="K17" s="17" t="s">
        <v>77</v>
      </c>
      <c r="L17" s="32" t="s">
        <v>399</v>
      </c>
      <c r="M17" s="40">
        <v>45820</v>
      </c>
      <c r="N17" s="40">
        <f t="shared" ca="1" si="0"/>
        <v>45960</v>
      </c>
      <c r="O17" s="30">
        <f t="shared" ca="1" si="1"/>
        <v>0.38356164383561642</v>
      </c>
      <c r="P17" s="32" t="s">
        <v>36</v>
      </c>
      <c r="Q17" s="30">
        <f t="shared" ca="1" si="2"/>
        <v>0.38356164383561642</v>
      </c>
      <c r="R17" s="283" t="s">
        <v>36</v>
      </c>
    </row>
    <row r="18" spans="2:18" ht="12" customHeight="1" x14ac:dyDescent="0.25">
      <c r="B18" s="277">
        <v>12</v>
      </c>
      <c r="C18" s="211" t="s">
        <v>401</v>
      </c>
      <c r="D18" s="16" t="s">
        <v>402</v>
      </c>
      <c r="E18" s="16">
        <v>968080276</v>
      </c>
      <c r="F18" s="16"/>
      <c r="G18" s="159" t="s">
        <v>403</v>
      </c>
      <c r="H18" s="1" t="s">
        <v>34</v>
      </c>
      <c r="I18" s="1" t="s">
        <v>65</v>
      </c>
      <c r="J18" s="1">
        <v>112</v>
      </c>
      <c r="K18" s="17" t="s">
        <v>77</v>
      </c>
      <c r="L18" s="32" t="s">
        <v>399</v>
      </c>
      <c r="M18" s="40">
        <v>45832</v>
      </c>
      <c r="N18" s="40">
        <f t="shared" ca="1" si="0"/>
        <v>45960</v>
      </c>
      <c r="O18" s="30">
        <f t="shared" ca="1" si="1"/>
        <v>0.35068493150684932</v>
      </c>
      <c r="P18" s="32" t="s">
        <v>36</v>
      </c>
      <c r="Q18" s="30">
        <f t="shared" ca="1" si="2"/>
        <v>0.35068493150684932</v>
      </c>
      <c r="R18" s="283" t="s">
        <v>36</v>
      </c>
    </row>
    <row r="19" spans="2:18" ht="12" customHeight="1" x14ac:dyDescent="0.25">
      <c r="B19" s="277">
        <v>13</v>
      </c>
      <c r="C19" s="210" t="s">
        <v>78</v>
      </c>
      <c r="D19" s="205" t="s">
        <v>79</v>
      </c>
      <c r="E19" s="16">
        <v>957564741</v>
      </c>
      <c r="F19" s="16">
        <v>971839997</v>
      </c>
      <c r="G19" s="220"/>
      <c r="H19" s="1" t="s">
        <v>34</v>
      </c>
      <c r="I19" s="1" t="s">
        <v>65</v>
      </c>
      <c r="J19" s="1">
        <v>113</v>
      </c>
      <c r="K19" s="18" t="s">
        <v>54</v>
      </c>
      <c r="L19" s="13" t="s">
        <v>380</v>
      </c>
      <c r="M19" s="40">
        <v>45582</v>
      </c>
      <c r="N19" s="40">
        <f t="shared" ca="1" si="0"/>
        <v>45960</v>
      </c>
      <c r="O19" s="30">
        <f t="shared" ca="1" si="1"/>
        <v>1.0356164383561643</v>
      </c>
      <c r="P19" s="13" t="s">
        <v>36</v>
      </c>
      <c r="Q19" s="30">
        <f t="shared" ca="1" si="2"/>
        <v>1.0356164383561643</v>
      </c>
      <c r="R19" s="281" t="s">
        <v>36</v>
      </c>
    </row>
    <row r="20" spans="2:18" ht="12" customHeight="1" x14ac:dyDescent="0.25">
      <c r="B20" s="277">
        <v>14</v>
      </c>
      <c r="C20" s="210" t="s">
        <v>404</v>
      </c>
      <c r="D20" s="205" t="s">
        <v>405</v>
      </c>
      <c r="E20" s="16">
        <v>941162517</v>
      </c>
      <c r="F20" s="16">
        <v>937129228</v>
      </c>
      <c r="G20" s="35" t="s">
        <v>406</v>
      </c>
      <c r="H20" s="1" t="s">
        <v>34</v>
      </c>
      <c r="I20" s="1" t="s">
        <v>65</v>
      </c>
      <c r="J20" s="1">
        <v>114</v>
      </c>
      <c r="K20" s="18" t="s">
        <v>54</v>
      </c>
      <c r="L20" s="13" t="s">
        <v>380</v>
      </c>
      <c r="M20" s="40">
        <v>45582</v>
      </c>
      <c r="N20" s="40">
        <f t="shared" ca="1" si="0"/>
        <v>45960</v>
      </c>
      <c r="O20" s="30">
        <f t="shared" ca="1" si="1"/>
        <v>1.0356164383561643</v>
      </c>
      <c r="P20" s="13" t="s">
        <v>36</v>
      </c>
      <c r="Q20" s="30">
        <f t="shared" ca="1" si="2"/>
        <v>1.0356164383561643</v>
      </c>
      <c r="R20" s="281" t="s">
        <v>36</v>
      </c>
    </row>
    <row r="21" spans="2:18" ht="12" customHeight="1" x14ac:dyDescent="0.25">
      <c r="B21" s="277">
        <v>15</v>
      </c>
      <c r="C21" s="210" t="s">
        <v>68</v>
      </c>
      <c r="D21" s="205" t="s">
        <v>69</v>
      </c>
      <c r="E21" s="16">
        <v>920531267</v>
      </c>
      <c r="F21" s="16">
        <v>950494407</v>
      </c>
      <c r="G21" s="35" t="s">
        <v>407</v>
      </c>
      <c r="H21" s="1" t="s">
        <v>34</v>
      </c>
      <c r="I21" s="1" t="s">
        <v>65</v>
      </c>
      <c r="J21" s="1">
        <v>115</v>
      </c>
      <c r="K21" s="18" t="s">
        <v>54</v>
      </c>
      <c r="L21" s="13" t="s">
        <v>380</v>
      </c>
      <c r="M21" s="40">
        <v>45582</v>
      </c>
      <c r="N21" s="40">
        <f t="shared" ca="1" si="0"/>
        <v>45960</v>
      </c>
      <c r="O21" s="30">
        <f t="shared" ca="1" si="1"/>
        <v>1.0356164383561643</v>
      </c>
      <c r="P21" s="13" t="s">
        <v>36</v>
      </c>
      <c r="Q21" s="30">
        <f t="shared" ca="1" si="2"/>
        <v>1.0356164383561643</v>
      </c>
      <c r="R21" s="281" t="s">
        <v>36</v>
      </c>
    </row>
    <row r="22" spans="2:18" ht="12" customHeight="1" x14ac:dyDescent="0.25">
      <c r="B22" s="277">
        <v>16</v>
      </c>
      <c r="C22" s="210" t="s">
        <v>152</v>
      </c>
      <c r="D22" s="202" t="s">
        <v>153</v>
      </c>
      <c r="E22" s="16">
        <v>981457448</v>
      </c>
      <c r="F22" s="16">
        <v>961960619</v>
      </c>
      <c r="G22" s="35" t="s">
        <v>408</v>
      </c>
      <c r="H22" s="1" t="s">
        <v>34</v>
      </c>
      <c r="I22" s="1" t="s">
        <v>65</v>
      </c>
      <c r="J22" s="1">
        <v>116</v>
      </c>
      <c r="K22" s="20" t="s">
        <v>82</v>
      </c>
      <c r="L22" s="13" t="s">
        <v>380</v>
      </c>
      <c r="M22" s="40">
        <v>45594</v>
      </c>
      <c r="N22" s="40">
        <f t="shared" ca="1" si="0"/>
        <v>45960</v>
      </c>
      <c r="O22" s="30">
        <f t="shared" ca="1" si="1"/>
        <v>1.0027397260273974</v>
      </c>
      <c r="P22" s="13" t="s">
        <v>36</v>
      </c>
      <c r="Q22" s="30">
        <f t="shared" ca="1" si="2"/>
        <v>1.0027397260273974</v>
      </c>
      <c r="R22" s="281" t="s">
        <v>36</v>
      </c>
    </row>
    <row r="23" spans="2:18" ht="12" customHeight="1" x14ac:dyDescent="0.25">
      <c r="B23" s="277">
        <v>17</v>
      </c>
      <c r="C23" s="210" t="s">
        <v>291</v>
      </c>
      <c r="D23" s="202" t="s">
        <v>292</v>
      </c>
      <c r="E23" s="16">
        <v>984563059</v>
      </c>
      <c r="F23" s="16"/>
      <c r="G23" s="35" t="s">
        <v>409</v>
      </c>
      <c r="H23" s="1" t="s">
        <v>34</v>
      </c>
      <c r="I23" s="1" t="s">
        <v>53</v>
      </c>
      <c r="J23" s="1">
        <v>117</v>
      </c>
      <c r="K23" s="20" t="s">
        <v>82</v>
      </c>
      <c r="L23" s="13" t="s">
        <v>380</v>
      </c>
      <c r="M23" s="40">
        <v>45589</v>
      </c>
      <c r="N23" s="40">
        <f t="shared" ca="1" si="0"/>
        <v>45960</v>
      </c>
      <c r="O23" s="30">
        <f t="shared" ca="1" si="1"/>
        <v>1.0164383561643835</v>
      </c>
      <c r="P23" s="13" t="s">
        <v>36</v>
      </c>
      <c r="Q23" s="30">
        <f t="shared" ca="1" si="2"/>
        <v>1.0164383561643835</v>
      </c>
      <c r="R23" s="281" t="s">
        <v>36</v>
      </c>
    </row>
    <row r="24" spans="2:18" ht="12" customHeight="1" x14ac:dyDescent="0.25">
      <c r="B24" s="277">
        <v>18</v>
      </c>
      <c r="C24" s="210" t="s">
        <v>324</v>
      </c>
      <c r="D24" s="205" t="s">
        <v>325</v>
      </c>
      <c r="E24" s="16">
        <v>996787025</v>
      </c>
      <c r="F24" s="16">
        <v>949359091</v>
      </c>
      <c r="G24" s="35" t="s">
        <v>410</v>
      </c>
      <c r="H24" s="1" t="s">
        <v>34</v>
      </c>
      <c r="I24" s="1" t="s">
        <v>53</v>
      </c>
      <c r="J24" s="1">
        <v>118</v>
      </c>
      <c r="K24" s="18" t="s">
        <v>54</v>
      </c>
      <c r="L24" s="13" t="s">
        <v>380</v>
      </c>
      <c r="M24" s="40">
        <v>45582</v>
      </c>
      <c r="N24" s="40">
        <f t="shared" ca="1" si="0"/>
        <v>45960</v>
      </c>
      <c r="O24" s="30">
        <f t="shared" ca="1" si="1"/>
        <v>1.0356164383561643</v>
      </c>
      <c r="P24" s="13" t="s">
        <v>36</v>
      </c>
      <c r="Q24" s="30">
        <f t="shared" ca="1" si="2"/>
        <v>1.0356164383561643</v>
      </c>
      <c r="R24" s="281" t="s">
        <v>36</v>
      </c>
    </row>
    <row r="25" spans="2:18" ht="12" customHeight="1" x14ac:dyDescent="0.25">
      <c r="B25" s="277">
        <v>19</v>
      </c>
      <c r="C25" s="210" t="s">
        <v>232</v>
      </c>
      <c r="D25" s="205" t="s">
        <v>233</v>
      </c>
      <c r="E25" s="16">
        <v>948480545</v>
      </c>
      <c r="F25" s="16"/>
      <c r="G25" s="220" t="s">
        <v>411</v>
      </c>
      <c r="H25" s="1" t="s">
        <v>34</v>
      </c>
      <c r="I25" s="1" t="s">
        <v>53</v>
      </c>
      <c r="J25" s="1">
        <v>119</v>
      </c>
      <c r="K25" s="18" t="s">
        <v>54</v>
      </c>
      <c r="L25" s="13" t="s">
        <v>380</v>
      </c>
      <c r="M25" s="40">
        <v>45582</v>
      </c>
      <c r="N25" s="40">
        <f t="shared" ca="1" si="0"/>
        <v>45960</v>
      </c>
      <c r="O25" s="30">
        <f t="shared" ca="1" si="1"/>
        <v>1.0356164383561643</v>
      </c>
      <c r="P25" s="13" t="s">
        <v>36</v>
      </c>
      <c r="Q25" s="30">
        <f t="shared" ca="1" si="2"/>
        <v>1.0356164383561643</v>
      </c>
      <c r="R25" s="281" t="s">
        <v>36</v>
      </c>
    </row>
    <row r="26" spans="2:18" ht="12" customHeight="1" x14ac:dyDescent="0.25">
      <c r="B26" s="277">
        <v>20</v>
      </c>
      <c r="C26" s="227" t="s">
        <v>412</v>
      </c>
      <c r="D26" s="204" t="s">
        <v>413</v>
      </c>
      <c r="E26" s="16">
        <v>954372303</v>
      </c>
      <c r="F26" s="16"/>
      <c r="G26" s="16"/>
      <c r="H26" s="1" t="s">
        <v>34</v>
      </c>
      <c r="I26" s="1" t="s">
        <v>53</v>
      </c>
      <c r="J26" s="1">
        <v>120</v>
      </c>
      <c r="K26" s="18" t="s">
        <v>54</v>
      </c>
      <c r="L26" s="13" t="s">
        <v>380</v>
      </c>
      <c r="M26" s="40">
        <v>45793</v>
      </c>
      <c r="N26" s="40">
        <f t="shared" ca="1" si="0"/>
        <v>45960</v>
      </c>
      <c r="O26" s="30">
        <f t="shared" ca="1" si="1"/>
        <v>0.45753424657534247</v>
      </c>
      <c r="P26" s="13" t="s">
        <v>36</v>
      </c>
      <c r="Q26" s="30">
        <f t="shared" ca="1" si="2"/>
        <v>0.45753424657534247</v>
      </c>
      <c r="R26" s="281" t="s">
        <v>36</v>
      </c>
    </row>
    <row r="27" spans="2:18" ht="12" customHeight="1" x14ac:dyDescent="0.25">
      <c r="B27" s="277">
        <v>21</v>
      </c>
      <c r="C27" s="229" t="s">
        <v>307</v>
      </c>
      <c r="D27" s="208" t="s">
        <v>308</v>
      </c>
      <c r="E27" s="16">
        <v>962213852</v>
      </c>
      <c r="F27" s="16"/>
      <c r="G27" s="159" t="s">
        <v>414</v>
      </c>
      <c r="H27" s="1" t="s">
        <v>34</v>
      </c>
      <c r="I27" s="1" t="s">
        <v>53</v>
      </c>
      <c r="J27" s="1">
        <v>121</v>
      </c>
      <c r="K27" s="17" t="s">
        <v>77</v>
      </c>
      <c r="L27" s="117" t="s">
        <v>380</v>
      </c>
      <c r="M27" s="40">
        <v>45870</v>
      </c>
      <c r="N27" s="40">
        <f t="shared" ca="1" si="0"/>
        <v>45960</v>
      </c>
      <c r="O27" s="263">
        <f t="shared" ca="1" si="1"/>
        <v>0.24657534246575341</v>
      </c>
      <c r="P27" s="117" t="s">
        <v>36</v>
      </c>
      <c r="Q27" s="263">
        <f t="shared" ca="1" si="2"/>
        <v>0.24657534246575341</v>
      </c>
      <c r="R27" s="282" t="s">
        <v>36</v>
      </c>
    </row>
    <row r="28" spans="2:18" ht="12" customHeight="1" x14ac:dyDescent="0.3">
      <c r="B28" s="277">
        <v>22</v>
      </c>
      <c r="C28" s="241" t="s">
        <v>415</v>
      </c>
      <c r="D28" s="246" t="s">
        <v>416</v>
      </c>
      <c r="E28" s="16">
        <v>979650362</v>
      </c>
      <c r="F28" s="16"/>
      <c r="G28" s="242" t="s">
        <v>417</v>
      </c>
      <c r="H28" s="1" t="s">
        <v>34</v>
      </c>
      <c r="I28" s="1" t="s">
        <v>53</v>
      </c>
      <c r="J28" s="1">
        <v>122</v>
      </c>
      <c r="K28" s="17" t="s">
        <v>77</v>
      </c>
      <c r="L28" s="117" t="s">
        <v>380</v>
      </c>
      <c r="M28" s="40">
        <v>45912</v>
      </c>
      <c r="N28" s="40">
        <f t="shared" ca="1" si="0"/>
        <v>45960</v>
      </c>
      <c r="O28" s="263">
        <f t="shared" ca="1" si="1"/>
        <v>0.13150684931506848</v>
      </c>
      <c r="P28" s="117" t="s">
        <v>36</v>
      </c>
      <c r="Q28" s="263">
        <f t="shared" ca="1" si="2"/>
        <v>0.13150684931506848</v>
      </c>
      <c r="R28" s="282" t="s">
        <v>36</v>
      </c>
    </row>
    <row r="29" spans="2:18" ht="12" customHeight="1" x14ac:dyDescent="0.25">
      <c r="B29" s="277">
        <v>23</v>
      </c>
      <c r="C29" s="210" t="s">
        <v>418</v>
      </c>
      <c r="D29" s="202" t="s">
        <v>419</v>
      </c>
      <c r="E29" s="16">
        <v>937581310</v>
      </c>
      <c r="F29" s="16">
        <v>997461713</v>
      </c>
      <c r="G29" s="35" t="s">
        <v>420</v>
      </c>
      <c r="H29" s="1" t="s">
        <v>34</v>
      </c>
      <c r="I29" s="1" t="s">
        <v>53</v>
      </c>
      <c r="J29" s="1">
        <v>123</v>
      </c>
      <c r="K29" s="21" t="s">
        <v>105</v>
      </c>
      <c r="L29" s="13" t="s">
        <v>380</v>
      </c>
      <c r="M29" s="40">
        <v>45595</v>
      </c>
      <c r="N29" s="40">
        <f t="shared" ca="1" si="0"/>
        <v>45960</v>
      </c>
      <c r="O29" s="30">
        <f t="shared" ca="1" si="1"/>
        <v>1</v>
      </c>
      <c r="P29" s="13" t="s">
        <v>36</v>
      </c>
      <c r="Q29" s="30">
        <f t="shared" ca="1" si="2"/>
        <v>1</v>
      </c>
      <c r="R29" s="281" t="s">
        <v>36</v>
      </c>
    </row>
    <row r="30" spans="2:18" ht="12" customHeight="1" x14ac:dyDescent="0.25">
      <c r="B30" s="277">
        <v>24</v>
      </c>
      <c r="C30" s="227" t="s">
        <v>298</v>
      </c>
      <c r="D30" s="204" t="s">
        <v>299</v>
      </c>
      <c r="E30" s="16">
        <v>999916976</v>
      </c>
      <c r="F30" s="16">
        <v>963320042</v>
      </c>
      <c r="G30" s="220" t="s">
        <v>421</v>
      </c>
      <c r="H30" s="1" t="s">
        <v>34</v>
      </c>
      <c r="I30" s="1" t="s">
        <v>53</v>
      </c>
      <c r="J30" s="1">
        <v>124</v>
      </c>
      <c r="K30" s="17" t="s">
        <v>77</v>
      </c>
      <c r="L30" s="13" t="s">
        <v>380</v>
      </c>
      <c r="M30" s="40">
        <v>45835</v>
      </c>
      <c r="N30" s="40">
        <f t="shared" ca="1" si="0"/>
        <v>45960</v>
      </c>
      <c r="O30" s="30">
        <f t="shared" ca="1" si="1"/>
        <v>0.34246575342465752</v>
      </c>
      <c r="P30" s="13" t="s">
        <v>36</v>
      </c>
      <c r="Q30" s="30">
        <f t="shared" ca="1" si="2"/>
        <v>0.34246575342465752</v>
      </c>
      <c r="R30" s="281" t="s">
        <v>36</v>
      </c>
    </row>
    <row r="31" spans="2:18" ht="12" customHeight="1" x14ac:dyDescent="0.3">
      <c r="B31" s="277">
        <v>25</v>
      </c>
      <c r="C31" s="241" t="s">
        <v>422</v>
      </c>
      <c r="D31" s="246" t="s">
        <v>423</v>
      </c>
      <c r="E31" s="16">
        <v>942021341</v>
      </c>
      <c r="F31" s="16"/>
      <c r="G31" s="248" t="s">
        <v>424</v>
      </c>
      <c r="H31" s="1" t="s">
        <v>39</v>
      </c>
      <c r="I31" s="1" t="s">
        <v>57</v>
      </c>
      <c r="J31" s="1">
        <v>125</v>
      </c>
      <c r="K31" s="17" t="s">
        <v>77</v>
      </c>
      <c r="L31" s="13" t="s">
        <v>380</v>
      </c>
      <c r="M31" s="40">
        <v>45898</v>
      </c>
      <c r="N31" s="40">
        <f t="shared" ca="1" si="0"/>
        <v>45960</v>
      </c>
      <c r="O31" s="30">
        <f t="shared" ca="1" si="1"/>
        <v>0.16986301369863013</v>
      </c>
      <c r="P31" s="13" t="s">
        <v>36</v>
      </c>
      <c r="Q31" s="30">
        <f t="shared" ca="1" si="2"/>
        <v>0.16986301369863013</v>
      </c>
      <c r="R31" s="281" t="s">
        <v>36</v>
      </c>
    </row>
    <row r="32" spans="2:18" ht="12" customHeight="1" x14ac:dyDescent="0.25">
      <c r="B32" s="277">
        <v>26</v>
      </c>
      <c r="C32" s="295" t="s">
        <v>425</v>
      </c>
      <c r="D32" s="296" t="s">
        <v>426</v>
      </c>
      <c r="E32" s="36">
        <v>88264983</v>
      </c>
      <c r="F32" s="36"/>
      <c r="G32" s="297" t="s">
        <v>427</v>
      </c>
      <c r="H32" s="291" t="s">
        <v>39</v>
      </c>
      <c r="I32" s="1" t="s">
        <v>57</v>
      </c>
      <c r="J32" s="1">
        <v>126</v>
      </c>
      <c r="K32" s="17" t="s">
        <v>77</v>
      </c>
      <c r="L32" s="13" t="s">
        <v>380</v>
      </c>
      <c r="M32" s="40">
        <v>45870</v>
      </c>
      <c r="N32" s="40">
        <f t="shared" ca="1" si="0"/>
        <v>45960</v>
      </c>
      <c r="O32" s="263">
        <f t="shared" ca="1" si="1"/>
        <v>0.24657534246575341</v>
      </c>
      <c r="P32" s="117" t="s">
        <v>36</v>
      </c>
      <c r="Q32" s="263">
        <f t="shared" ca="1" si="2"/>
        <v>0.24657534246575341</v>
      </c>
      <c r="R32" s="282" t="s">
        <v>36</v>
      </c>
    </row>
    <row r="33" spans="2:18" ht="12" customHeight="1" x14ac:dyDescent="0.25">
      <c r="B33" s="287">
        <v>27</v>
      </c>
      <c r="C33" s="210" t="s">
        <v>111</v>
      </c>
      <c r="D33" s="202" t="s">
        <v>112</v>
      </c>
      <c r="E33" s="16">
        <v>982854991</v>
      </c>
      <c r="F33" s="16">
        <v>996495528</v>
      </c>
      <c r="G33" s="220" t="s">
        <v>428</v>
      </c>
      <c r="H33" s="1" t="s">
        <v>39</v>
      </c>
      <c r="I33" s="288" t="s">
        <v>57</v>
      </c>
      <c r="J33" s="1">
        <v>127</v>
      </c>
      <c r="K33" s="21" t="s">
        <v>105</v>
      </c>
      <c r="L33" s="13" t="s">
        <v>380</v>
      </c>
      <c r="M33" s="40">
        <v>45589</v>
      </c>
      <c r="N33" s="40">
        <f t="shared" ca="1" si="0"/>
        <v>45960</v>
      </c>
      <c r="O33" s="30">
        <f t="shared" ca="1" si="1"/>
        <v>1.0164383561643835</v>
      </c>
      <c r="P33" s="13" t="s">
        <v>36</v>
      </c>
      <c r="Q33" s="30">
        <f t="shared" ca="1" si="2"/>
        <v>1.0164383561643835</v>
      </c>
      <c r="R33" s="281" t="s">
        <v>36</v>
      </c>
    </row>
    <row r="34" spans="2:18" ht="12" customHeight="1" x14ac:dyDescent="0.3">
      <c r="B34" s="287">
        <v>28</v>
      </c>
      <c r="C34" s="241" t="s">
        <v>429</v>
      </c>
      <c r="D34" s="241" t="s">
        <v>430</v>
      </c>
      <c r="E34" s="16">
        <v>993138510</v>
      </c>
      <c r="F34" s="16"/>
      <c r="G34" s="242" t="s">
        <v>431</v>
      </c>
      <c r="H34" s="1" t="s">
        <v>39</v>
      </c>
      <c r="I34" s="288" t="s">
        <v>57</v>
      </c>
      <c r="J34" s="1">
        <v>128</v>
      </c>
      <c r="K34" s="17" t="s">
        <v>77</v>
      </c>
      <c r="L34" s="13" t="s">
        <v>380</v>
      </c>
      <c r="M34" s="40">
        <v>45926</v>
      </c>
      <c r="N34" s="40">
        <f t="shared" ca="1" si="0"/>
        <v>45960</v>
      </c>
      <c r="O34" s="30">
        <f t="shared" ca="1" si="1"/>
        <v>9.3150684931506855E-2</v>
      </c>
      <c r="P34" s="13" t="s">
        <v>36</v>
      </c>
      <c r="Q34" s="30">
        <f t="shared" ca="1" si="2"/>
        <v>9.3150684931506855E-2</v>
      </c>
      <c r="R34" s="281" t="s">
        <v>36</v>
      </c>
    </row>
    <row r="35" spans="2:18" ht="12" customHeight="1" x14ac:dyDescent="0.25">
      <c r="B35" s="287">
        <v>29</v>
      </c>
      <c r="C35" s="210" t="s">
        <v>190</v>
      </c>
      <c r="D35" s="202" t="s">
        <v>191</v>
      </c>
      <c r="E35" s="16">
        <v>940731891</v>
      </c>
      <c r="F35" s="16">
        <v>976999840</v>
      </c>
      <c r="G35" s="220" t="s">
        <v>432</v>
      </c>
      <c r="H35" s="1" t="s">
        <v>39</v>
      </c>
      <c r="I35" s="288" t="s">
        <v>57</v>
      </c>
      <c r="J35" s="1">
        <v>129</v>
      </c>
      <c r="K35" s="18" t="s">
        <v>54</v>
      </c>
      <c r="L35" s="13" t="s">
        <v>380</v>
      </c>
      <c r="M35" s="40">
        <v>45582</v>
      </c>
      <c r="N35" s="40">
        <f t="shared" ca="1" si="0"/>
        <v>45960</v>
      </c>
      <c r="O35" s="30">
        <f t="shared" ca="1" si="1"/>
        <v>1.0356164383561643</v>
      </c>
      <c r="P35" s="13" t="s">
        <v>36</v>
      </c>
      <c r="Q35" s="30">
        <f t="shared" ca="1" si="2"/>
        <v>1.0356164383561643</v>
      </c>
      <c r="R35" s="281" t="s">
        <v>36</v>
      </c>
    </row>
    <row r="36" spans="2:18" ht="12" customHeight="1" x14ac:dyDescent="0.25">
      <c r="B36" s="287">
        <v>30</v>
      </c>
      <c r="C36" s="210" t="s">
        <v>180</v>
      </c>
      <c r="D36" s="202" t="s">
        <v>181</v>
      </c>
      <c r="E36" s="16">
        <v>949485704</v>
      </c>
      <c r="F36" s="16">
        <v>949179412</v>
      </c>
      <c r="G36" s="35" t="s">
        <v>433</v>
      </c>
      <c r="H36" s="1" t="s">
        <v>39</v>
      </c>
      <c r="I36" s="288" t="s">
        <v>57</v>
      </c>
      <c r="J36" s="1">
        <v>130</v>
      </c>
      <c r="K36" s="18" t="s">
        <v>54</v>
      </c>
      <c r="L36" s="13" t="s">
        <v>380</v>
      </c>
      <c r="M36" s="40">
        <v>45582</v>
      </c>
      <c r="N36" s="40">
        <f t="shared" ca="1" si="0"/>
        <v>45960</v>
      </c>
      <c r="O36" s="30">
        <f t="shared" ca="1" si="1"/>
        <v>1.0356164383561643</v>
      </c>
      <c r="P36" s="13" t="s">
        <v>36</v>
      </c>
      <c r="Q36" s="30">
        <f t="shared" ca="1" si="2"/>
        <v>1.0356164383561643</v>
      </c>
      <c r="R36" s="281" t="s">
        <v>36</v>
      </c>
    </row>
    <row r="37" spans="2:18" ht="12" customHeight="1" x14ac:dyDescent="0.25">
      <c r="B37" s="287">
        <v>31</v>
      </c>
      <c r="C37" s="298" t="s">
        <v>434</v>
      </c>
      <c r="D37" s="299" t="s">
        <v>435</v>
      </c>
      <c r="E37" s="37">
        <v>979699676</v>
      </c>
      <c r="F37" s="37">
        <v>998831146</v>
      </c>
      <c r="G37" s="300" t="s">
        <v>436</v>
      </c>
      <c r="H37" s="22" t="s">
        <v>39</v>
      </c>
      <c r="I37" s="288" t="s">
        <v>57</v>
      </c>
      <c r="J37" s="1">
        <v>131</v>
      </c>
      <c r="K37" s="18" t="s">
        <v>54</v>
      </c>
      <c r="L37" s="13" t="s">
        <v>380</v>
      </c>
      <c r="M37" s="40">
        <v>45582</v>
      </c>
      <c r="N37" s="40">
        <f t="shared" ca="1" si="0"/>
        <v>45960</v>
      </c>
      <c r="O37" s="30">
        <f t="shared" ca="1" si="1"/>
        <v>1.0356164383561643</v>
      </c>
      <c r="P37" s="13" t="s">
        <v>36</v>
      </c>
      <c r="Q37" s="30">
        <f t="shared" ca="1" si="2"/>
        <v>1.0356164383561643</v>
      </c>
      <c r="R37" s="281" t="s">
        <v>36</v>
      </c>
    </row>
    <row r="38" spans="2:18" ht="12" customHeight="1" x14ac:dyDescent="0.25">
      <c r="B38" s="287">
        <v>32</v>
      </c>
      <c r="C38" s="210" t="s">
        <v>87</v>
      </c>
      <c r="D38" s="202" t="s">
        <v>88</v>
      </c>
      <c r="E38" s="16">
        <v>958532380</v>
      </c>
      <c r="F38" s="16">
        <v>964865227</v>
      </c>
      <c r="G38" s="35" t="s">
        <v>437</v>
      </c>
      <c r="H38" s="1" t="s">
        <v>39</v>
      </c>
      <c r="I38" s="288" t="s">
        <v>57</v>
      </c>
      <c r="J38" s="1">
        <v>132</v>
      </c>
      <c r="K38" s="18" t="s">
        <v>54</v>
      </c>
      <c r="L38" s="13" t="s">
        <v>380</v>
      </c>
      <c r="M38" s="40">
        <v>45582</v>
      </c>
      <c r="N38" s="40">
        <f t="shared" ca="1" si="0"/>
        <v>45960</v>
      </c>
      <c r="O38" s="30">
        <f t="shared" ca="1" si="1"/>
        <v>1.0356164383561643</v>
      </c>
      <c r="P38" s="13" t="s">
        <v>36</v>
      </c>
      <c r="Q38" s="30">
        <f t="shared" ca="1" si="2"/>
        <v>1.0356164383561643</v>
      </c>
      <c r="R38" s="281" t="s">
        <v>36</v>
      </c>
    </row>
    <row r="39" spans="2:18" ht="12" customHeight="1" x14ac:dyDescent="0.3">
      <c r="B39" s="287">
        <v>33</v>
      </c>
      <c r="C39" s="241" t="s">
        <v>350</v>
      </c>
      <c r="D39" s="241" t="s">
        <v>351</v>
      </c>
      <c r="E39" s="16">
        <v>965155351</v>
      </c>
      <c r="F39" s="16"/>
      <c r="G39" s="242" t="s">
        <v>438</v>
      </c>
      <c r="H39" s="1" t="s">
        <v>39</v>
      </c>
      <c r="I39" s="288" t="s">
        <v>60</v>
      </c>
      <c r="J39" s="1">
        <v>133</v>
      </c>
      <c r="K39" s="17" t="s">
        <v>77</v>
      </c>
      <c r="L39" s="13" t="s">
        <v>380</v>
      </c>
      <c r="M39" s="40">
        <v>45926</v>
      </c>
      <c r="N39" s="40">
        <f t="shared" ref="N39:N70" ca="1" si="3">+TODAY()</f>
        <v>45960</v>
      </c>
      <c r="O39" s="30">
        <f t="shared" ref="O39:O70" ca="1" si="4">+((N39-M39)/365)</f>
        <v>9.3150684931506855E-2</v>
      </c>
      <c r="P39" s="13" t="s">
        <v>36</v>
      </c>
      <c r="Q39" s="30">
        <f t="shared" ref="Q39:Q70" ca="1" si="5">+((N39-M39)/365)</f>
        <v>9.3150684931506855E-2</v>
      </c>
      <c r="R39" s="281" t="s">
        <v>36</v>
      </c>
    </row>
    <row r="40" spans="2:18" ht="12" customHeight="1" x14ac:dyDescent="0.25">
      <c r="B40" s="287">
        <v>34</v>
      </c>
      <c r="C40" s="227" t="s">
        <v>277</v>
      </c>
      <c r="D40" s="204" t="s">
        <v>278</v>
      </c>
      <c r="E40" s="16">
        <v>930302928</v>
      </c>
      <c r="F40" s="16"/>
      <c r="G40" s="220" t="s">
        <v>439</v>
      </c>
      <c r="H40" s="1" t="s">
        <v>39</v>
      </c>
      <c r="I40" s="288" t="s">
        <v>60</v>
      </c>
      <c r="J40" s="1">
        <v>134</v>
      </c>
      <c r="K40" s="17" t="s">
        <v>77</v>
      </c>
      <c r="L40" s="13" t="s">
        <v>380</v>
      </c>
      <c r="M40" s="40">
        <v>45796</v>
      </c>
      <c r="N40" s="40">
        <f t="shared" ca="1" si="3"/>
        <v>45960</v>
      </c>
      <c r="O40" s="30">
        <f t="shared" ca="1" si="4"/>
        <v>0.44931506849315067</v>
      </c>
      <c r="P40" s="13" t="s">
        <v>36</v>
      </c>
      <c r="Q40" s="30">
        <f t="shared" ca="1" si="5"/>
        <v>0.44931506849315067</v>
      </c>
      <c r="R40" s="281" t="s">
        <v>36</v>
      </c>
    </row>
    <row r="41" spans="2:18" ht="12" customHeight="1" x14ac:dyDescent="0.25">
      <c r="B41" s="287">
        <v>35</v>
      </c>
      <c r="C41" s="210" t="s">
        <v>146</v>
      </c>
      <c r="D41" s="202" t="s">
        <v>147</v>
      </c>
      <c r="E41" s="16">
        <v>971997544</v>
      </c>
      <c r="F41" s="16">
        <v>965056383</v>
      </c>
      <c r="G41" s="220" t="s">
        <v>440</v>
      </c>
      <c r="H41" s="1" t="s">
        <v>39</v>
      </c>
      <c r="I41" s="288" t="s">
        <v>60</v>
      </c>
      <c r="J41" s="1">
        <v>135</v>
      </c>
      <c r="K41" s="21" t="s">
        <v>105</v>
      </c>
      <c r="L41" s="13" t="s">
        <v>380</v>
      </c>
      <c r="M41" s="40">
        <v>45600</v>
      </c>
      <c r="N41" s="40">
        <f t="shared" ca="1" si="3"/>
        <v>45960</v>
      </c>
      <c r="O41" s="30">
        <f t="shared" ca="1" si="4"/>
        <v>0.98630136986301364</v>
      </c>
      <c r="P41" s="13" t="s">
        <v>36</v>
      </c>
      <c r="Q41" s="30">
        <f t="shared" ca="1" si="5"/>
        <v>0.98630136986301364</v>
      </c>
      <c r="R41" s="281" t="s">
        <v>36</v>
      </c>
    </row>
    <row r="42" spans="2:18" ht="12" customHeight="1" x14ac:dyDescent="0.25">
      <c r="B42" s="277">
        <v>36</v>
      </c>
      <c r="C42" s="292" t="s">
        <v>441</v>
      </c>
      <c r="D42" s="293" t="s">
        <v>442</v>
      </c>
      <c r="E42" s="37">
        <v>944580370</v>
      </c>
      <c r="F42" s="37"/>
      <c r="G42" s="294" t="s">
        <v>443</v>
      </c>
      <c r="H42" s="22" t="s">
        <v>39</v>
      </c>
      <c r="I42" s="1" t="s">
        <v>60</v>
      </c>
      <c r="J42" s="1">
        <v>136</v>
      </c>
      <c r="K42" s="17" t="s">
        <v>77</v>
      </c>
      <c r="L42" s="13" t="s">
        <v>380</v>
      </c>
      <c r="M42" s="40">
        <v>45912</v>
      </c>
      <c r="N42" s="40">
        <f t="shared" ca="1" si="3"/>
        <v>45960</v>
      </c>
      <c r="O42" s="30">
        <f t="shared" ca="1" si="4"/>
        <v>0.13150684931506848</v>
      </c>
      <c r="P42" s="13" t="s">
        <v>36</v>
      </c>
      <c r="Q42" s="30">
        <f t="shared" ca="1" si="5"/>
        <v>0.13150684931506848</v>
      </c>
      <c r="R42" s="281" t="s">
        <v>36</v>
      </c>
    </row>
    <row r="43" spans="2:18" ht="12" customHeight="1" x14ac:dyDescent="0.25">
      <c r="B43" s="277">
        <v>37</v>
      </c>
      <c r="C43" s="210" t="s">
        <v>444</v>
      </c>
      <c r="D43" s="205" t="s">
        <v>445</v>
      </c>
      <c r="E43" s="16">
        <v>982946801</v>
      </c>
      <c r="F43" s="16">
        <v>950886600</v>
      </c>
      <c r="G43" s="35" t="s">
        <v>446</v>
      </c>
      <c r="H43" s="1" t="s">
        <v>39</v>
      </c>
      <c r="I43" s="1" t="s">
        <v>60</v>
      </c>
      <c r="J43" s="1">
        <v>137</v>
      </c>
      <c r="K43" s="18" t="s">
        <v>54</v>
      </c>
      <c r="L43" s="13" t="s">
        <v>380</v>
      </c>
      <c r="M43" s="40">
        <v>45582</v>
      </c>
      <c r="N43" s="40">
        <f t="shared" ca="1" si="3"/>
        <v>45960</v>
      </c>
      <c r="O43" s="30">
        <f t="shared" ca="1" si="4"/>
        <v>1.0356164383561643</v>
      </c>
      <c r="P43" s="13" t="s">
        <v>36</v>
      </c>
      <c r="Q43" s="30">
        <f t="shared" ca="1" si="5"/>
        <v>1.0356164383561643</v>
      </c>
      <c r="R43" s="281" t="s">
        <v>36</v>
      </c>
    </row>
    <row r="44" spans="2:18" ht="12" customHeight="1" x14ac:dyDescent="0.25">
      <c r="B44" s="277">
        <v>38</v>
      </c>
      <c r="C44" s="210" t="s">
        <v>447</v>
      </c>
      <c r="D44" s="202" t="s">
        <v>448</v>
      </c>
      <c r="E44" s="16">
        <v>934313034</v>
      </c>
      <c r="F44" s="16">
        <v>974081029</v>
      </c>
      <c r="G44" s="35" t="s">
        <v>449</v>
      </c>
      <c r="H44" s="1" t="s">
        <v>39</v>
      </c>
      <c r="I44" s="1" t="s">
        <v>60</v>
      </c>
      <c r="J44" s="1">
        <v>138</v>
      </c>
      <c r="K44" s="18" t="s">
        <v>54</v>
      </c>
      <c r="L44" s="13" t="s">
        <v>380</v>
      </c>
      <c r="M44" s="40">
        <v>45588</v>
      </c>
      <c r="N44" s="40">
        <f t="shared" ca="1" si="3"/>
        <v>45960</v>
      </c>
      <c r="O44" s="264">
        <f t="shared" ca="1" si="4"/>
        <v>1.0191780821917809</v>
      </c>
      <c r="P44" s="13" t="s">
        <v>36</v>
      </c>
      <c r="Q44" s="30">
        <f t="shared" ca="1" si="5"/>
        <v>1.0191780821917809</v>
      </c>
      <c r="R44" s="281" t="s">
        <v>36</v>
      </c>
    </row>
    <row r="45" spans="2:18" ht="12" customHeight="1" x14ac:dyDescent="0.25">
      <c r="B45" s="277">
        <v>39</v>
      </c>
      <c r="C45" s="210" t="s">
        <v>450</v>
      </c>
      <c r="D45" s="205" t="s">
        <v>451</v>
      </c>
      <c r="E45" s="16">
        <v>940271098</v>
      </c>
      <c r="F45" s="16">
        <v>981508145</v>
      </c>
      <c r="G45" s="35" t="s">
        <v>452</v>
      </c>
      <c r="H45" s="1" t="s">
        <v>39</v>
      </c>
      <c r="I45" s="1" t="s">
        <v>60</v>
      </c>
      <c r="J45" s="1">
        <v>139</v>
      </c>
      <c r="K45" s="18" t="s">
        <v>54</v>
      </c>
      <c r="L45" s="13" t="s">
        <v>380</v>
      </c>
      <c r="M45" s="40">
        <v>45582</v>
      </c>
      <c r="N45" s="40">
        <f t="shared" ca="1" si="3"/>
        <v>45960</v>
      </c>
      <c r="O45" s="30">
        <f t="shared" ca="1" si="4"/>
        <v>1.0356164383561643</v>
      </c>
      <c r="P45" s="13" t="s">
        <v>36</v>
      </c>
      <c r="Q45" s="30">
        <f t="shared" ca="1" si="5"/>
        <v>1.0356164383561643</v>
      </c>
      <c r="R45" s="281" t="s">
        <v>36</v>
      </c>
    </row>
    <row r="46" spans="2:18" ht="12" customHeight="1" x14ac:dyDescent="0.25">
      <c r="B46" s="277">
        <v>40</v>
      </c>
      <c r="C46" s="210" t="s">
        <v>161</v>
      </c>
      <c r="D46" s="202" t="s">
        <v>162</v>
      </c>
      <c r="E46" s="16">
        <v>974613101</v>
      </c>
      <c r="F46" s="16">
        <v>979130493</v>
      </c>
      <c r="G46" s="220" t="s">
        <v>453</v>
      </c>
      <c r="H46" s="1" t="s">
        <v>39</v>
      </c>
      <c r="I46" s="1" t="s">
        <v>60</v>
      </c>
      <c r="J46" s="1">
        <v>140</v>
      </c>
      <c r="K46" s="18" t="s">
        <v>54</v>
      </c>
      <c r="L46" s="13" t="s">
        <v>380</v>
      </c>
      <c r="M46" s="40">
        <v>45582</v>
      </c>
      <c r="N46" s="40">
        <f t="shared" ca="1" si="3"/>
        <v>45960</v>
      </c>
      <c r="O46" s="30">
        <f t="shared" ca="1" si="4"/>
        <v>1.0356164383561643</v>
      </c>
      <c r="P46" s="13" t="s">
        <v>36</v>
      </c>
      <c r="Q46" s="30">
        <f t="shared" ca="1" si="5"/>
        <v>1.0356164383561643</v>
      </c>
      <c r="R46" s="281" t="s">
        <v>36</v>
      </c>
    </row>
    <row r="47" spans="2:18" ht="12" customHeight="1" x14ac:dyDescent="0.25">
      <c r="B47" s="277">
        <v>41</v>
      </c>
      <c r="C47" s="227" t="s">
        <v>270</v>
      </c>
      <c r="D47" s="204" t="s">
        <v>454</v>
      </c>
      <c r="E47" s="16">
        <v>994775975</v>
      </c>
      <c r="F47" s="16"/>
      <c r="G47" s="220" t="s">
        <v>455</v>
      </c>
      <c r="H47" s="1" t="s">
        <v>34</v>
      </c>
      <c r="I47" s="1" t="s">
        <v>97</v>
      </c>
      <c r="J47" s="1">
        <v>201</v>
      </c>
      <c r="K47" s="17" t="s">
        <v>77</v>
      </c>
      <c r="L47" s="13" t="s">
        <v>380</v>
      </c>
      <c r="M47" s="40">
        <v>45814</v>
      </c>
      <c r="N47" s="40">
        <f t="shared" ca="1" si="3"/>
        <v>45960</v>
      </c>
      <c r="O47" s="30">
        <f t="shared" ca="1" si="4"/>
        <v>0.4</v>
      </c>
      <c r="P47" s="13" t="s">
        <v>36</v>
      </c>
      <c r="Q47" s="30">
        <f t="shared" ca="1" si="5"/>
        <v>0.4</v>
      </c>
      <c r="R47" s="281" t="s">
        <v>36</v>
      </c>
    </row>
    <row r="48" spans="2:18" ht="12" customHeight="1" x14ac:dyDescent="0.25">
      <c r="B48" s="277">
        <v>42</v>
      </c>
      <c r="C48" s="210" t="s">
        <v>262</v>
      </c>
      <c r="D48" s="202" t="s">
        <v>263</v>
      </c>
      <c r="E48" s="16">
        <v>988232129</v>
      </c>
      <c r="F48" s="16">
        <v>999675255</v>
      </c>
      <c r="G48" s="35" t="s">
        <v>456</v>
      </c>
      <c r="H48" s="1" t="s">
        <v>34</v>
      </c>
      <c r="I48" s="1" t="s">
        <v>97</v>
      </c>
      <c r="J48" s="1">
        <v>202</v>
      </c>
      <c r="K48" s="21" t="s">
        <v>105</v>
      </c>
      <c r="L48" s="13" t="s">
        <v>380</v>
      </c>
      <c r="M48" s="40">
        <v>45594</v>
      </c>
      <c r="N48" s="40">
        <f t="shared" ca="1" si="3"/>
        <v>45960</v>
      </c>
      <c r="O48" s="30">
        <f t="shared" ca="1" si="4"/>
        <v>1.0027397260273974</v>
      </c>
      <c r="P48" s="13" t="s">
        <v>36</v>
      </c>
      <c r="Q48" s="30">
        <f t="shared" ca="1" si="5"/>
        <v>1.0027397260273974</v>
      </c>
      <c r="R48" s="281" t="s">
        <v>36</v>
      </c>
    </row>
    <row r="49" spans="2:18" ht="12" customHeight="1" x14ac:dyDescent="0.25">
      <c r="B49" s="277">
        <v>43</v>
      </c>
      <c r="C49" s="227" t="s">
        <v>283</v>
      </c>
      <c r="D49" s="204" t="s">
        <v>457</v>
      </c>
      <c r="E49" s="16">
        <v>934211376</v>
      </c>
      <c r="F49" s="16"/>
      <c r="G49" s="220" t="s">
        <v>458</v>
      </c>
      <c r="H49" s="1" t="s">
        <v>34</v>
      </c>
      <c r="I49" s="1" t="s">
        <v>97</v>
      </c>
      <c r="J49" s="1">
        <v>203</v>
      </c>
      <c r="K49" s="17" t="s">
        <v>77</v>
      </c>
      <c r="L49" s="13" t="s">
        <v>380</v>
      </c>
      <c r="M49" s="40">
        <v>45803</v>
      </c>
      <c r="N49" s="40">
        <f t="shared" ca="1" si="3"/>
        <v>45960</v>
      </c>
      <c r="O49" s="30">
        <f t="shared" ca="1" si="4"/>
        <v>0.43013698630136987</v>
      </c>
      <c r="P49" s="13" t="s">
        <v>36</v>
      </c>
      <c r="Q49" s="30">
        <f t="shared" ca="1" si="5"/>
        <v>0.43013698630136987</v>
      </c>
      <c r="R49" s="281" t="s">
        <v>36</v>
      </c>
    </row>
    <row r="50" spans="2:18" ht="12" customHeight="1" x14ac:dyDescent="0.25">
      <c r="B50" s="277">
        <v>44</v>
      </c>
      <c r="C50" s="210" t="s">
        <v>247</v>
      </c>
      <c r="D50" s="205" t="s">
        <v>248</v>
      </c>
      <c r="E50" s="16">
        <v>984322367</v>
      </c>
      <c r="F50" s="16">
        <v>991929660</v>
      </c>
      <c r="G50" s="16"/>
      <c r="H50" s="1" t="s">
        <v>34</v>
      </c>
      <c r="I50" s="1" t="s">
        <v>97</v>
      </c>
      <c r="J50" s="1">
        <v>204</v>
      </c>
      <c r="K50" s="17" t="s">
        <v>77</v>
      </c>
      <c r="L50" s="13" t="s">
        <v>380</v>
      </c>
      <c r="M50" s="40">
        <v>45737</v>
      </c>
      <c r="N50" s="40">
        <f t="shared" ca="1" si="3"/>
        <v>45960</v>
      </c>
      <c r="O50" s="30">
        <f t="shared" ca="1" si="4"/>
        <v>0.61095890410958908</v>
      </c>
      <c r="P50" s="13" t="s">
        <v>36</v>
      </c>
      <c r="Q50" s="30">
        <f t="shared" ca="1" si="5"/>
        <v>0.61095890410958908</v>
      </c>
      <c r="R50" s="281" t="s">
        <v>36</v>
      </c>
    </row>
    <row r="51" spans="2:18" ht="12" customHeight="1" x14ac:dyDescent="0.25">
      <c r="B51" s="277">
        <v>45</v>
      </c>
      <c r="C51" s="227" t="s">
        <v>459</v>
      </c>
      <c r="D51" s="204" t="s">
        <v>460</v>
      </c>
      <c r="E51" s="16">
        <v>935899223</v>
      </c>
      <c r="F51" s="16"/>
      <c r="G51" s="220" t="s">
        <v>461</v>
      </c>
      <c r="H51" s="1" t="s">
        <v>34</v>
      </c>
      <c r="I51" s="1" t="s">
        <v>97</v>
      </c>
      <c r="J51" s="1">
        <v>205</v>
      </c>
      <c r="K51" s="17" t="s">
        <v>77</v>
      </c>
      <c r="L51" s="13" t="s">
        <v>380</v>
      </c>
      <c r="M51" s="40">
        <v>45820</v>
      </c>
      <c r="N51" s="40">
        <f t="shared" ca="1" si="3"/>
        <v>45960</v>
      </c>
      <c r="O51" s="30">
        <f t="shared" ca="1" si="4"/>
        <v>0.38356164383561642</v>
      </c>
      <c r="P51" s="13" t="s">
        <v>36</v>
      </c>
      <c r="Q51" s="30">
        <f t="shared" ca="1" si="5"/>
        <v>0.38356164383561642</v>
      </c>
      <c r="R51" s="281" t="s">
        <v>36</v>
      </c>
    </row>
    <row r="52" spans="2:18" ht="12" customHeight="1" x14ac:dyDescent="0.25">
      <c r="B52" s="277">
        <v>46</v>
      </c>
      <c r="C52" s="210" t="s">
        <v>462</v>
      </c>
      <c r="D52" s="205" t="s">
        <v>203</v>
      </c>
      <c r="E52" s="16">
        <v>979034238</v>
      </c>
      <c r="F52" s="16">
        <v>978676361</v>
      </c>
      <c r="G52" s="16"/>
      <c r="H52" s="1" t="s">
        <v>34</v>
      </c>
      <c r="I52" s="1" t="s">
        <v>97</v>
      </c>
      <c r="J52" s="1">
        <v>206</v>
      </c>
      <c r="K52" s="17" t="s">
        <v>77</v>
      </c>
      <c r="L52" s="13" t="s">
        <v>380</v>
      </c>
      <c r="M52" s="40">
        <v>45744</v>
      </c>
      <c r="N52" s="40">
        <f t="shared" ca="1" si="3"/>
        <v>45960</v>
      </c>
      <c r="O52" s="30">
        <f t="shared" ca="1" si="4"/>
        <v>0.59178082191780823</v>
      </c>
      <c r="P52" s="13" t="s">
        <v>36</v>
      </c>
      <c r="Q52" s="30">
        <f t="shared" ca="1" si="5"/>
        <v>0.59178082191780823</v>
      </c>
      <c r="R52" s="281" t="s">
        <v>36</v>
      </c>
    </row>
    <row r="53" spans="2:18" ht="12" customHeight="1" x14ac:dyDescent="0.25">
      <c r="B53" s="277">
        <v>47</v>
      </c>
      <c r="C53" s="210" t="s">
        <v>163</v>
      </c>
      <c r="D53" s="202" t="s">
        <v>164</v>
      </c>
      <c r="E53" s="16">
        <v>978547854</v>
      </c>
      <c r="F53" s="16"/>
      <c r="G53" s="35" t="s">
        <v>463</v>
      </c>
      <c r="H53" s="1" t="s">
        <v>34</v>
      </c>
      <c r="I53" s="1" t="s">
        <v>97</v>
      </c>
      <c r="J53" s="1">
        <v>207</v>
      </c>
      <c r="K53" s="21" t="s">
        <v>105</v>
      </c>
      <c r="L53" s="13" t="s">
        <v>380</v>
      </c>
      <c r="M53" s="40">
        <v>45594</v>
      </c>
      <c r="N53" s="40">
        <f t="shared" ca="1" si="3"/>
        <v>45960</v>
      </c>
      <c r="O53" s="30">
        <f t="shared" ca="1" si="4"/>
        <v>1.0027397260273974</v>
      </c>
      <c r="P53" s="13" t="s">
        <v>36</v>
      </c>
      <c r="Q53" s="30">
        <f t="shared" ca="1" si="5"/>
        <v>1.0027397260273974</v>
      </c>
      <c r="R53" s="281" t="s">
        <v>36</v>
      </c>
    </row>
    <row r="54" spans="2:18" ht="12" customHeight="1" x14ac:dyDescent="0.25">
      <c r="B54" s="277">
        <v>48</v>
      </c>
      <c r="C54" s="210" t="s">
        <v>182</v>
      </c>
      <c r="D54" s="202" t="s">
        <v>183</v>
      </c>
      <c r="E54" s="16">
        <v>951891314</v>
      </c>
      <c r="F54" s="16"/>
      <c r="G54" s="35" t="s">
        <v>464</v>
      </c>
      <c r="H54" s="1" t="s">
        <v>34</v>
      </c>
      <c r="I54" s="1" t="s">
        <v>97</v>
      </c>
      <c r="J54" s="1">
        <v>208</v>
      </c>
      <c r="K54" s="17" t="s">
        <v>77</v>
      </c>
      <c r="L54" s="13" t="s">
        <v>380</v>
      </c>
      <c r="M54" s="40">
        <v>45632</v>
      </c>
      <c r="N54" s="40">
        <f t="shared" ca="1" si="3"/>
        <v>45960</v>
      </c>
      <c r="O54" s="30">
        <f t="shared" ca="1" si="4"/>
        <v>0.89863013698630134</v>
      </c>
      <c r="P54" s="13" t="s">
        <v>36</v>
      </c>
      <c r="Q54" s="30">
        <f t="shared" ca="1" si="5"/>
        <v>0.89863013698630134</v>
      </c>
      <c r="R54" s="281" t="s">
        <v>36</v>
      </c>
    </row>
    <row r="55" spans="2:18" ht="12" customHeight="1" x14ac:dyDescent="0.25">
      <c r="B55" s="277">
        <v>49</v>
      </c>
      <c r="C55" s="210" t="s">
        <v>268</v>
      </c>
      <c r="D55" s="205" t="s">
        <v>269</v>
      </c>
      <c r="E55" s="16">
        <v>998269476</v>
      </c>
      <c r="F55" s="16">
        <v>932617089</v>
      </c>
      <c r="G55" s="35" t="s">
        <v>465</v>
      </c>
      <c r="H55" s="1" t="s">
        <v>34</v>
      </c>
      <c r="I55" s="1" t="s">
        <v>65</v>
      </c>
      <c r="J55" s="1">
        <v>209</v>
      </c>
      <c r="K55" s="17" t="s">
        <v>77</v>
      </c>
      <c r="L55" s="13" t="s">
        <v>380</v>
      </c>
      <c r="M55" s="40">
        <v>45632</v>
      </c>
      <c r="N55" s="40">
        <f t="shared" ca="1" si="3"/>
        <v>45960</v>
      </c>
      <c r="O55" s="30">
        <f t="shared" ca="1" si="4"/>
        <v>0.89863013698630134</v>
      </c>
      <c r="P55" s="13" t="s">
        <v>36</v>
      </c>
      <c r="Q55" s="30">
        <f t="shared" ca="1" si="5"/>
        <v>0.89863013698630134</v>
      </c>
      <c r="R55" s="281" t="s">
        <v>36</v>
      </c>
    </row>
    <row r="56" spans="2:18" ht="12" customHeight="1" x14ac:dyDescent="0.25">
      <c r="B56" s="277">
        <v>50</v>
      </c>
      <c r="C56" s="210" t="s">
        <v>80</v>
      </c>
      <c r="D56" s="202" t="s">
        <v>81</v>
      </c>
      <c r="E56" s="16">
        <v>935899938</v>
      </c>
      <c r="F56" s="16">
        <v>952052178</v>
      </c>
      <c r="G56" s="35" t="s">
        <v>466</v>
      </c>
      <c r="H56" s="1" t="s">
        <v>34</v>
      </c>
      <c r="I56" s="1" t="s">
        <v>65</v>
      </c>
      <c r="J56" s="1">
        <v>210</v>
      </c>
      <c r="K56" s="20" t="s">
        <v>82</v>
      </c>
      <c r="L56" s="13" t="s">
        <v>380</v>
      </c>
      <c r="M56" s="40">
        <v>45594</v>
      </c>
      <c r="N56" s="40">
        <f t="shared" ca="1" si="3"/>
        <v>45960</v>
      </c>
      <c r="O56" s="30">
        <f t="shared" ca="1" si="4"/>
        <v>1.0027397260273974</v>
      </c>
      <c r="P56" s="13" t="s">
        <v>36</v>
      </c>
      <c r="Q56" s="30">
        <f t="shared" ca="1" si="5"/>
        <v>1.0027397260273974</v>
      </c>
      <c r="R56" s="281" t="s">
        <v>36</v>
      </c>
    </row>
    <row r="57" spans="2:18" ht="12" customHeight="1" x14ac:dyDescent="0.25">
      <c r="B57" s="277">
        <v>51</v>
      </c>
      <c r="C57" s="227" t="s">
        <v>301</v>
      </c>
      <c r="D57" s="204" t="s">
        <v>302</v>
      </c>
      <c r="E57" s="16">
        <v>944250850</v>
      </c>
      <c r="F57" s="16"/>
      <c r="G57" s="159" t="s">
        <v>467</v>
      </c>
      <c r="H57" s="1" t="s">
        <v>34</v>
      </c>
      <c r="I57" s="1" t="s">
        <v>65</v>
      </c>
      <c r="J57" s="1">
        <v>211</v>
      </c>
      <c r="K57" s="17" t="s">
        <v>77</v>
      </c>
      <c r="L57" s="13" t="s">
        <v>380</v>
      </c>
      <c r="M57" s="40">
        <v>45863</v>
      </c>
      <c r="N57" s="40">
        <f t="shared" ca="1" si="3"/>
        <v>45960</v>
      </c>
      <c r="O57" s="30">
        <f t="shared" ca="1" si="4"/>
        <v>0.26575342465753427</v>
      </c>
      <c r="P57" s="13" t="s">
        <v>36</v>
      </c>
      <c r="Q57" s="30">
        <f t="shared" ca="1" si="5"/>
        <v>0.26575342465753427</v>
      </c>
      <c r="R57" s="281" t="s">
        <v>36</v>
      </c>
    </row>
    <row r="58" spans="2:18" ht="12" customHeight="1" x14ac:dyDescent="0.25">
      <c r="B58" s="277">
        <v>52</v>
      </c>
      <c r="C58" s="210" t="s">
        <v>74</v>
      </c>
      <c r="D58" s="205" t="s">
        <v>75</v>
      </c>
      <c r="E58" s="16" t="s">
        <v>76</v>
      </c>
      <c r="F58" s="16">
        <v>999371575</v>
      </c>
      <c r="G58" s="220" t="s">
        <v>468</v>
      </c>
      <c r="H58" s="1" t="s">
        <v>34</v>
      </c>
      <c r="I58" s="1" t="s">
        <v>65</v>
      </c>
      <c r="J58" s="1">
        <v>212</v>
      </c>
      <c r="K58" s="17" t="s">
        <v>77</v>
      </c>
      <c r="L58" s="13" t="s">
        <v>380</v>
      </c>
      <c r="M58" s="40">
        <v>45595</v>
      </c>
      <c r="N58" s="40">
        <f t="shared" ca="1" si="3"/>
        <v>45960</v>
      </c>
      <c r="O58" s="30">
        <f t="shared" ca="1" si="4"/>
        <v>1</v>
      </c>
      <c r="P58" s="13" t="s">
        <v>36</v>
      </c>
      <c r="Q58" s="30">
        <f t="shared" ca="1" si="5"/>
        <v>1</v>
      </c>
      <c r="R58" s="281" t="s">
        <v>36</v>
      </c>
    </row>
    <row r="59" spans="2:18" ht="12" customHeight="1" x14ac:dyDescent="0.25">
      <c r="B59" s="277">
        <v>53</v>
      </c>
      <c r="C59" s="210" t="s">
        <v>228</v>
      </c>
      <c r="D59" s="205" t="s">
        <v>229</v>
      </c>
      <c r="E59" s="16">
        <v>972844728</v>
      </c>
      <c r="F59" s="16">
        <v>988480234</v>
      </c>
      <c r="G59" s="35" t="s">
        <v>469</v>
      </c>
      <c r="H59" s="1" t="s">
        <v>34</v>
      </c>
      <c r="I59" s="1" t="s">
        <v>65</v>
      </c>
      <c r="J59" s="1">
        <v>213</v>
      </c>
      <c r="K59" s="18" t="s">
        <v>54</v>
      </c>
      <c r="L59" s="13" t="s">
        <v>380</v>
      </c>
      <c r="M59" s="40">
        <v>45582</v>
      </c>
      <c r="N59" s="40">
        <f t="shared" ca="1" si="3"/>
        <v>45960</v>
      </c>
      <c r="O59" s="30">
        <f t="shared" ca="1" si="4"/>
        <v>1.0356164383561643</v>
      </c>
      <c r="P59" s="13" t="s">
        <v>36</v>
      </c>
      <c r="Q59" s="30">
        <f t="shared" ca="1" si="5"/>
        <v>1.0356164383561643</v>
      </c>
      <c r="R59" s="281" t="s">
        <v>36</v>
      </c>
    </row>
    <row r="60" spans="2:18" ht="12" customHeight="1" x14ac:dyDescent="0.25">
      <c r="B60" s="277">
        <v>54</v>
      </c>
      <c r="C60" s="210" t="s">
        <v>70</v>
      </c>
      <c r="D60" s="205" t="s">
        <v>71</v>
      </c>
      <c r="E60" s="16">
        <v>994702650</v>
      </c>
      <c r="F60" s="16"/>
      <c r="G60" s="220" t="s">
        <v>470</v>
      </c>
      <c r="H60" s="1" t="s">
        <v>34</v>
      </c>
      <c r="I60" s="1" t="s">
        <v>65</v>
      </c>
      <c r="J60" s="1">
        <v>214</v>
      </c>
      <c r="K60" s="18" t="s">
        <v>54</v>
      </c>
      <c r="L60" s="13" t="s">
        <v>380</v>
      </c>
      <c r="M60" s="40">
        <v>45582</v>
      </c>
      <c r="N60" s="40">
        <f t="shared" ca="1" si="3"/>
        <v>45960</v>
      </c>
      <c r="O60" s="30">
        <f t="shared" ca="1" si="4"/>
        <v>1.0356164383561643</v>
      </c>
      <c r="P60" s="13" t="s">
        <v>36</v>
      </c>
      <c r="Q60" s="30">
        <f t="shared" ca="1" si="5"/>
        <v>1.0356164383561643</v>
      </c>
      <c r="R60" s="281" t="s">
        <v>36</v>
      </c>
    </row>
    <row r="61" spans="2:18" ht="12" customHeight="1" x14ac:dyDescent="0.25">
      <c r="B61" s="277">
        <v>55</v>
      </c>
      <c r="C61" s="210" t="s">
        <v>245</v>
      </c>
      <c r="D61" s="205" t="s">
        <v>246</v>
      </c>
      <c r="E61" s="16">
        <v>950194851</v>
      </c>
      <c r="F61" s="16">
        <v>957209907</v>
      </c>
      <c r="G61" s="35" t="s">
        <v>471</v>
      </c>
      <c r="H61" s="1" t="s">
        <v>34</v>
      </c>
      <c r="I61" s="1" t="s">
        <v>65</v>
      </c>
      <c r="J61" s="1">
        <v>215</v>
      </c>
      <c r="K61" s="18" t="s">
        <v>54</v>
      </c>
      <c r="L61" s="13" t="s">
        <v>380</v>
      </c>
      <c r="M61" s="40">
        <v>45582</v>
      </c>
      <c r="N61" s="40">
        <f t="shared" ca="1" si="3"/>
        <v>45960</v>
      </c>
      <c r="O61" s="30">
        <f t="shared" ca="1" si="4"/>
        <v>1.0356164383561643</v>
      </c>
      <c r="P61" s="13" t="s">
        <v>36</v>
      </c>
      <c r="Q61" s="30">
        <f t="shared" ca="1" si="5"/>
        <v>1.0356164383561643</v>
      </c>
      <c r="R61" s="281" t="s">
        <v>36</v>
      </c>
    </row>
    <row r="62" spans="2:18" ht="12" customHeight="1" x14ac:dyDescent="0.25">
      <c r="B62" s="277">
        <v>56</v>
      </c>
      <c r="C62" s="210" t="s">
        <v>280</v>
      </c>
      <c r="D62" s="202" t="s">
        <v>287</v>
      </c>
      <c r="E62" s="16">
        <v>932442754</v>
      </c>
      <c r="F62" s="16"/>
      <c r="G62" s="35" t="s">
        <v>472</v>
      </c>
      <c r="H62" s="1" t="s">
        <v>34</v>
      </c>
      <c r="I62" s="1" t="s">
        <v>65</v>
      </c>
      <c r="J62" s="1">
        <v>216</v>
      </c>
      <c r="K62" s="20" t="s">
        <v>82</v>
      </c>
      <c r="L62" s="13" t="s">
        <v>380</v>
      </c>
      <c r="M62" s="40">
        <v>45604</v>
      </c>
      <c r="N62" s="40">
        <f t="shared" ca="1" si="3"/>
        <v>45960</v>
      </c>
      <c r="O62" s="30">
        <f t="shared" ca="1" si="4"/>
        <v>0.97534246575342465</v>
      </c>
      <c r="P62" s="13" t="s">
        <v>36</v>
      </c>
      <c r="Q62" s="30">
        <f t="shared" ca="1" si="5"/>
        <v>0.97534246575342465</v>
      </c>
      <c r="R62" s="281" t="s">
        <v>36</v>
      </c>
    </row>
    <row r="63" spans="2:18" ht="12" customHeight="1" x14ac:dyDescent="0.25">
      <c r="B63" s="277">
        <v>57</v>
      </c>
      <c r="C63" s="210" t="s">
        <v>89</v>
      </c>
      <c r="D63" s="202" t="s">
        <v>90</v>
      </c>
      <c r="E63" s="16">
        <v>934138674</v>
      </c>
      <c r="F63" s="16">
        <v>932930759</v>
      </c>
      <c r="G63" s="35" t="s">
        <v>473</v>
      </c>
      <c r="H63" s="1" t="s">
        <v>34</v>
      </c>
      <c r="I63" s="1" t="s">
        <v>53</v>
      </c>
      <c r="J63" s="1">
        <v>217</v>
      </c>
      <c r="K63" s="20" t="s">
        <v>82</v>
      </c>
      <c r="L63" s="13" t="s">
        <v>380</v>
      </c>
      <c r="M63" s="40">
        <v>45590</v>
      </c>
      <c r="N63" s="40">
        <f t="shared" ca="1" si="3"/>
        <v>45960</v>
      </c>
      <c r="O63" s="30">
        <f t="shared" ca="1" si="4"/>
        <v>1.0136986301369864</v>
      </c>
      <c r="P63" s="13" t="s">
        <v>36</v>
      </c>
      <c r="Q63" s="30">
        <f t="shared" ca="1" si="5"/>
        <v>1.0136986301369864</v>
      </c>
      <c r="R63" s="281" t="s">
        <v>36</v>
      </c>
    </row>
    <row r="64" spans="2:18" ht="12" customHeight="1" x14ac:dyDescent="0.25">
      <c r="B64" s="277">
        <v>58</v>
      </c>
      <c r="C64" s="210" t="s">
        <v>120</v>
      </c>
      <c r="D64" s="202" t="s">
        <v>121</v>
      </c>
      <c r="E64" s="16">
        <v>954539843</v>
      </c>
      <c r="F64" s="16">
        <v>993986036</v>
      </c>
      <c r="G64" s="35" t="s">
        <v>474</v>
      </c>
      <c r="H64" s="1" t="s">
        <v>34</v>
      </c>
      <c r="I64" s="1" t="s">
        <v>53</v>
      </c>
      <c r="J64" s="1">
        <v>218</v>
      </c>
      <c r="K64" s="18" t="s">
        <v>54</v>
      </c>
      <c r="L64" s="13" t="s">
        <v>380</v>
      </c>
      <c r="M64" s="40">
        <v>45582</v>
      </c>
      <c r="N64" s="40">
        <f t="shared" ca="1" si="3"/>
        <v>45960</v>
      </c>
      <c r="O64" s="30">
        <f t="shared" ca="1" si="4"/>
        <v>1.0356164383561643</v>
      </c>
      <c r="P64" s="13" t="s">
        <v>36</v>
      </c>
      <c r="Q64" s="30">
        <f t="shared" ca="1" si="5"/>
        <v>1.0356164383561643</v>
      </c>
      <c r="R64" s="281" t="s">
        <v>36</v>
      </c>
    </row>
    <row r="65" spans="2:18" ht="12" customHeight="1" x14ac:dyDescent="0.25">
      <c r="B65" s="277">
        <v>59</v>
      </c>
      <c r="C65" s="289" t="s">
        <v>51</v>
      </c>
      <c r="D65" s="308" t="s">
        <v>52</v>
      </c>
      <c r="E65" s="253">
        <v>965073465</v>
      </c>
      <c r="F65" s="36">
        <v>956507609</v>
      </c>
      <c r="G65" s="309" t="s">
        <v>475</v>
      </c>
      <c r="H65" s="291" t="s">
        <v>34</v>
      </c>
      <c r="I65" s="1" t="s">
        <v>53</v>
      </c>
      <c r="J65" s="1">
        <v>219</v>
      </c>
      <c r="K65" s="18" t="s">
        <v>54</v>
      </c>
      <c r="L65" s="13" t="s">
        <v>380</v>
      </c>
      <c r="M65" s="40">
        <v>45582</v>
      </c>
      <c r="N65" s="40">
        <f t="shared" ca="1" si="3"/>
        <v>45960</v>
      </c>
      <c r="O65" s="30">
        <f t="shared" ca="1" si="4"/>
        <v>1.0356164383561643</v>
      </c>
      <c r="P65" s="13" t="s">
        <v>36</v>
      </c>
      <c r="Q65" s="30">
        <f t="shared" ca="1" si="5"/>
        <v>1.0356164383561643</v>
      </c>
      <c r="R65" s="281" t="s">
        <v>36</v>
      </c>
    </row>
    <row r="66" spans="2:18" ht="12" customHeight="1" x14ac:dyDescent="0.25">
      <c r="B66" s="287">
        <v>60</v>
      </c>
      <c r="C66" s="210" t="s">
        <v>61</v>
      </c>
      <c r="D66" s="205" t="s">
        <v>62</v>
      </c>
      <c r="E66" s="16">
        <v>946685802</v>
      </c>
      <c r="F66" s="16">
        <v>965135587</v>
      </c>
      <c r="G66" s="35" t="s">
        <v>476</v>
      </c>
      <c r="H66" s="1" t="s">
        <v>34</v>
      </c>
      <c r="I66" s="288" t="s">
        <v>53</v>
      </c>
      <c r="J66" s="1">
        <v>220</v>
      </c>
      <c r="K66" s="18" t="s">
        <v>54</v>
      </c>
      <c r="L66" s="13" t="s">
        <v>380</v>
      </c>
      <c r="M66" s="40">
        <v>45582</v>
      </c>
      <c r="N66" s="40">
        <f t="shared" ca="1" si="3"/>
        <v>45960</v>
      </c>
      <c r="O66" s="30">
        <f t="shared" ca="1" si="4"/>
        <v>1.0356164383561643</v>
      </c>
      <c r="P66" s="13" t="s">
        <v>36</v>
      </c>
      <c r="Q66" s="30">
        <f t="shared" ca="1" si="5"/>
        <v>1.0356164383561643</v>
      </c>
      <c r="R66" s="281" t="s">
        <v>36</v>
      </c>
    </row>
    <row r="67" spans="2:18" ht="12" customHeight="1" x14ac:dyDescent="0.3">
      <c r="B67" s="287">
        <v>61</v>
      </c>
      <c r="C67" s="307" t="s">
        <v>332</v>
      </c>
      <c r="D67" s="246" t="s">
        <v>477</v>
      </c>
      <c r="E67" s="16">
        <v>971524968</v>
      </c>
      <c r="F67" s="16"/>
      <c r="G67" s="242" t="s">
        <v>478</v>
      </c>
      <c r="H67" s="1" t="s">
        <v>34</v>
      </c>
      <c r="I67" s="288" t="s">
        <v>53</v>
      </c>
      <c r="J67" s="1">
        <v>221</v>
      </c>
      <c r="K67" s="17" t="s">
        <v>77</v>
      </c>
      <c r="L67" s="13" t="s">
        <v>380</v>
      </c>
      <c r="M67" s="40">
        <v>45912</v>
      </c>
      <c r="N67" s="40">
        <f t="shared" ca="1" si="3"/>
        <v>45960</v>
      </c>
      <c r="O67" s="30">
        <f t="shared" ca="1" si="4"/>
        <v>0.13150684931506848</v>
      </c>
      <c r="P67" s="13" t="s">
        <v>36</v>
      </c>
      <c r="Q67" s="30">
        <f t="shared" ca="1" si="5"/>
        <v>0.13150684931506848</v>
      </c>
      <c r="R67" s="281" t="s">
        <v>36</v>
      </c>
    </row>
    <row r="68" spans="2:18" ht="12" customHeight="1" x14ac:dyDescent="0.3">
      <c r="B68" s="287">
        <v>62</v>
      </c>
      <c r="C68" s="307" t="s">
        <v>479</v>
      </c>
      <c r="D68" s="246" t="s">
        <v>480</v>
      </c>
      <c r="E68" s="16">
        <v>973672054</v>
      </c>
      <c r="F68" s="16"/>
      <c r="G68" s="242" t="s">
        <v>481</v>
      </c>
      <c r="H68" s="1" t="s">
        <v>34</v>
      </c>
      <c r="I68" s="288" t="s">
        <v>53</v>
      </c>
      <c r="J68" s="1">
        <v>222</v>
      </c>
      <c r="K68" s="17" t="s">
        <v>77</v>
      </c>
      <c r="L68" s="13" t="s">
        <v>380</v>
      </c>
      <c r="M68" s="40">
        <v>45931</v>
      </c>
      <c r="N68" s="40">
        <f t="shared" ca="1" si="3"/>
        <v>45960</v>
      </c>
      <c r="O68" s="30">
        <f t="shared" ca="1" si="4"/>
        <v>7.9452054794520555E-2</v>
      </c>
      <c r="P68" s="13" t="s">
        <v>36</v>
      </c>
      <c r="Q68" s="30">
        <f t="shared" ca="1" si="5"/>
        <v>7.9452054794520555E-2</v>
      </c>
      <c r="R68" s="281" t="s">
        <v>36</v>
      </c>
    </row>
    <row r="69" spans="2:18" ht="12" customHeight="1" x14ac:dyDescent="0.25">
      <c r="B69" s="287">
        <v>63</v>
      </c>
      <c r="C69" s="210" t="s">
        <v>172</v>
      </c>
      <c r="D69" s="205" t="s">
        <v>173</v>
      </c>
      <c r="E69" s="16">
        <v>976086415</v>
      </c>
      <c r="F69" s="16"/>
      <c r="G69" s="35" t="s">
        <v>482</v>
      </c>
      <c r="H69" s="1" t="s">
        <v>34</v>
      </c>
      <c r="I69" s="288" t="s">
        <v>53</v>
      </c>
      <c r="J69" s="1">
        <v>223</v>
      </c>
      <c r="K69" s="21" t="s">
        <v>105</v>
      </c>
      <c r="L69" s="13" t="s">
        <v>380</v>
      </c>
      <c r="M69" s="40">
        <v>45642</v>
      </c>
      <c r="N69" s="40">
        <f t="shared" ca="1" si="3"/>
        <v>45960</v>
      </c>
      <c r="O69" s="30">
        <f t="shared" ca="1" si="4"/>
        <v>0.87123287671232874</v>
      </c>
      <c r="P69" s="13" t="s">
        <v>36</v>
      </c>
      <c r="Q69" s="30">
        <f t="shared" ca="1" si="5"/>
        <v>0.87123287671232874</v>
      </c>
      <c r="R69" s="281" t="s">
        <v>36</v>
      </c>
    </row>
    <row r="70" spans="2:18" ht="12" customHeight="1" x14ac:dyDescent="0.25">
      <c r="B70" s="287">
        <v>64</v>
      </c>
      <c r="C70" s="265" t="s">
        <v>483</v>
      </c>
      <c r="D70" s="266" t="s">
        <v>484</v>
      </c>
      <c r="E70" s="16">
        <v>934286991</v>
      </c>
      <c r="F70" s="16">
        <v>984558665</v>
      </c>
      <c r="G70" s="221" t="s">
        <v>485</v>
      </c>
      <c r="H70" s="1" t="s">
        <v>34</v>
      </c>
      <c r="I70" s="288" t="s">
        <v>53</v>
      </c>
      <c r="J70" s="1">
        <v>224</v>
      </c>
      <c r="K70" s="17" t="s">
        <v>77</v>
      </c>
      <c r="L70" s="13" t="s">
        <v>380</v>
      </c>
      <c r="M70" s="40">
        <v>45695</v>
      </c>
      <c r="N70" s="40">
        <f t="shared" ca="1" si="3"/>
        <v>45960</v>
      </c>
      <c r="O70" s="30">
        <f t="shared" ca="1" si="4"/>
        <v>0.72602739726027399</v>
      </c>
      <c r="P70" s="13" t="s">
        <v>36</v>
      </c>
      <c r="Q70" s="30">
        <f t="shared" ca="1" si="5"/>
        <v>0.72602739726027399</v>
      </c>
      <c r="R70" s="281" t="s">
        <v>36</v>
      </c>
    </row>
    <row r="71" spans="2:18" ht="12" customHeight="1" x14ac:dyDescent="0.25">
      <c r="B71" s="287">
        <v>65</v>
      </c>
      <c r="C71" s="210" t="s">
        <v>215</v>
      </c>
      <c r="D71" s="205" t="s">
        <v>216</v>
      </c>
      <c r="E71" s="16">
        <v>979411008</v>
      </c>
      <c r="F71" s="16"/>
      <c r="G71" s="35" t="s">
        <v>486</v>
      </c>
      <c r="H71" s="1" t="s">
        <v>39</v>
      </c>
      <c r="I71" s="288" t="s">
        <v>57</v>
      </c>
      <c r="J71" s="1">
        <v>225</v>
      </c>
      <c r="K71" s="17" t="s">
        <v>77</v>
      </c>
      <c r="L71" s="13" t="s">
        <v>380</v>
      </c>
      <c r="M71" s="40">
        <v>45659</v>
      </c>
      <c r="N71" s="40">
        <f t="shared" ref="N71:N102" ca="1" si="6">+TODAY()</f>
        <v>45960</v>
      </c>
      <c r="O71" s="30">
        <f t="shared" ref="O71:O102" ca="1" si="7">+((N71-M71)/365)</f>
        <v>0.8246575342465754</v>
      </c>
      <c r="P71" s="13" t="s">
        <v>36</v>
      </c>
      <c r="Q71" s="30">
        <f t="shared" ref="Q71:Q102" ca="1" si="8">+((N71-M71)/365)</f>
        <v>0.8246575342465754</v>
      </c>
      <c r="R71" s="281" t="s">
        <v>36</v>
      </c>
    </row>
    <row r="72" spans="2:18" ht="12" customHeight="1" x14ac:dyDescent="0.25">
      <c r="B72" s="287">
        <v>66</v>
      </c>
      <c r="C72" s="228" t="s">
        <v>487</v>
      </c>
      <c r="D72" s="203" t="s">
        <v>488</v>
      </c>
      <c r="E72" s="16">
        <v>976696144</v>
      </c>
      <c r="F72" s="16"/>
      <c r="G72" s="220" t="s">
        <v>489</v>
      </c>
      <c r="H72" s="1" t="s">
        <v>39</v>
      </c>
      <c r="I72" s="288" t="s">
        <v>57</v>
      </c>
      <c r="J72" s="1">
        <v>226</v>
      </c>
      <c r="K72" s="17" t="s">
        <v>77</v>
      </c>
      <c r="L72" s="13" t="s">
        <v>380</v>
      </c>
      <c r="M72" s="40">
        <v>45803</v>
      </c>
      <c r="N72" s="40">
        <f t="shared" ca="1" si="6"/>
        <v>45960</v>
      </c>
      <c r="O72" s="30">
        <f t="shared" ca="1" si="7"/>
        <v>0.43013698630136987</v>
      </c>
      <c r="P72" s="13" t="s">
        <v>36</v>
      </c>
      <c r="Q72" s="30">
        <f t="shared" ca="1" si="8"/>
        <v>0.43013698630136987</v>
      </c>
      <c r="R72" s="281" t="s">
        <v>36</v>
      </c>
    </row>
    <row r="73" spans="2:18" ht="12" customHeight="1" x14ac:dyDescent="0.25">
      <c r="B73" s="287">
        <v>67</v>
      </c>
      <c r="C73" s="210" t="s">
        <v>259</v>
      </c>
      <c r="D73" s="205" t="s">
        <v>260</v>
      </c>
      <c r="E73" s="16" t="s">
        <v>261</v>
      </c>
      <c r="F73" s="16">
        <v>973389329</v>
      </c>
      <c r="G73" s="35" t="s">
        <v>490</v>
      </c>
      <c r="H73" s="1" t="s">
        <v>39</v>
      </c>
      <c r="I73" s="288" t="s">
        <v>57</v>
      </c>
      <c r="J73" s="1">
        <v>227</v>
      </c>
      <c r="K73" s="21" t="s">
        <v>105</v>
      </c>
      <c r="L73" s="13" t="s">
        <v>380</v>
      </c>
      <c r="M73" s="40">
        <v>45642</v>
      </c>
      <c r="N73" s="40">
        <f t="shared" ca="1" si="6"/>
        <v>45960</v>
      </c>
      <c r="O73" s="30">
        <f t="shared" ca="1" si="7"/>
        <v>0.87123287671232874</v>
      </c>
      <c r="P73" s="13" t="s">
        <v>36</v>
      </c>
      <c r="Q73" s="30">
        <f t="shared" ca="1" si="8"/>
        <v>0.87123287671232874</v>
      </c>
      <c r="R73" s="281" t="s">
        <v>36</v>
      </c>
    </row>
    <row r="74" spans="2:18" ht="12" customHeight="1" x14ac:dyDescent="0.25">
      <c r="B74" s="287">
        <v>68</v>
      </c>
      <c r="C74" s="210" t="s">
        <v>144</v>
      </c>
      <c r="D74" s="202" t="s">
        <v>145</v>
      </c>
      <c r="E74" s="16">
        <v>978955227</v>
      </c>
      <c r="F74" s="16">
        <v>995914065</v>
      </c>
      <c r="G74" s="35" t="s">
        <v>491</v>
      </c>
      <c r="H74" s="1" t="s">
        <v>39</v>
      </c>
      <c r="I74" s="288" t="s">
        <v>57</v>
      </c>
      <c r="J74" s="1">
        <v>228</v>
      </c>
      <c r="K74" s="17" t="s">
        <v>77</v>
      </c>
      <c r="L74" s="13" t="s">
        <v>380</v>
      </c>
      <c r="M74" s="40">
        <v>45656</v>
      </c>
      <c r="N74" s="40">
        <f t="shared" ca="1" si="6"/>
        <v>45960</v>
      </c>
      <c r="O74" s="30">
        <f t="shared" ca="1" si="7"/>
        <v>0.83287671232876714</v>
      </c>
      <c r="P74" s="13" t="s">
        <v>36</v>
      </c>
      <c r="Q74" s="30">
        <f t="shared" ca="1" si="8"/>
        <v>0.83287671232876714</v>
      </c>
      <c r="R74" s="281" t="s">
        <v>36</v>
      </c>
    </row>
    <row r="75" spans="2:18" ht="12" customHeight="1" x14ac:dyDescent="0.25">
      <c r="B75" s="277">
        <v>69</v>
      </c>
      <c r="C75" s="298" t="s">
        <v>124</v>
      </c>
      <c r="D75" s="310" t="s">
        <v>125</v>
      </c>
      <c r="E75" s="37">
        <v>996917394</v>
      </c>
      <c r="F75" s="37"/>
      <c r="G75" s="300" t="s">
        <v>492</v>
      </c>
      <c r="H75" s="22" t="s">
        <v>39</v>
      </c>
      <c r="I75" s="1" t="s">
        <v>57</v>
      </c>
      <c r="J75" s="1">
        <v>229</v>
      </c>
      <c r="K75" s="20" t="s">
        <v>82</v>
      </c>
      <c r="L75" s="13" t="s">
        <v>380</v>
      </c>
      <c r="M75" s="40">
        <v>45625</v>
      </c>
      <c r="N75" s="40">
        <f t="shared" ca="1" si="6"/>
        <v>45960</v>
      </c>
      <c r="O75" s="30">
        <f t="shared" ca="1" si="7"/>
        <v>0.9178082191780822</v>
      </c>
      <c r="P75" s="13" t="s">
        <v>36</v>
      </c>
      <c r="Q75" s="30">
        <f t="shared" ca="1" si="8"/>
        <v>0.9178082191780822</v>
      </c>
      <c r="R75" s="281" t="s">
        <v>36</v>
      </c>
    </row>
    <row r="76" spans="2:18" ht="12" customHeight="1" x14ac:dyDescent="0.25">
      <c r="B76" s="277">
        <v>70</v>
      </c>
      <c r="C76" s="210" t="s">
        <v>493</v>
      </c>
      <c r="D76" s="202" t="s">
        <v>494</v>
      </c>
      <c r="E76" s="16">
        <v>952318750</v>
      </c>
      <c r="F76" s="16">
        <v>969096633</v>
      </c>
      <c r="G76" s="35" t="s">
        <v>495</v>
      </c>
      <c r="H76" s="1" t="s">
        <v>39</v>
      </c>
      <c r="I76" s="1" t="s">
        <v>57</v>
      </c>
      <c r="J76" s="1">
        <v>230</v>
      </c>
      <c r="K76" s="18" t="s">
        <v>54</v>
      </c>
      <c r="L76" s="13" t="s">
        <v>380</v>
      </c>
      <c r="M76" s="40">
        <v>45582</v>
      </c>
      <c r="N76" s="40">
        <f t="shared" ca="1" si="6"/>
        <v>45960</v>
      </c>
      <c r="O76" s="30">
        <f t="shared" ca="1" si="7"/>
        <v>1.0356164383561643</v>
      </c>
      <c r="P76" s="13" t="s">
        <v>36</v>
      </c>
      <c r="Q76" s="30">
        <f t="shared" ca="1" si="8"/>
        <v>1.0356164383561643</v>
      </c>
      <c r="R76" s="281" t="s">
        <v>36</v>
      </c>
    </row>
    <row r="77" spans="2:18" ht="12" customHeight="1" x14ac:dyDescent="0.25">
      <c r="B77" s="277">
        <v>71</v>
      </c>
      <c r="C77" s="210" t="s">
        <v>142</v>
      </c>
      <c r="D77" s="202" t="s">
        <v>143</v>
      </c>
      <c r="E77" s="16">
        <v>936191122</v>
      </c>
      <c r="F77" s="16">
        <v>976596613</v>
      </c>
      <c r="G77" s="35" t="s">
        <v>496</v>
      </c>
      <c r="H77" s="1" t="s">
        <v>39</v>
      </c>
      <c r="I77" s="1" t="s">
        <v>57</v>
      </c>
      <c r="J77" s="1">
        <v>231</v>
      </c>
      <c r="K77" s="18" t="s">
        <v>54</v>
      </c>
      <c r="L77" s="13" t="s">
        <v>380</v>
      </c>
      <c r="M77" s="40">
        <v>45582</v>
      </c>
      <c r="N77" s="40">
        <f t="shared" ca="1" si="6"/>
        <v>45960</v>
      </c>
      <c r="O77" s="30">
        <f t="shared" ca="1" si="7"/>
        <v>1.0356164383561643</v>
      </c>
      <c r="P77" s="13" t="s">
        <v>36</v>
      </c>
      <c r="Q77" s="30">
        <f t="shared" ca="1" si="8"/>
        <v>1.0356164383561643</v>
      </c>
      <c r="R77" s="281" t="s">
        <v>36</v>
      </c>
    </row>
    <row r="78" spans="2:18" ht="12" customHeight="1" x14ac:dyDescent="0.25">
      <c r="B78" s="277">
        <v>72</v>
      </c>
      <c r="C78" s="210" t="s">
        <v>257</v>
      </c>
      <c r="D78" s="205" t="s">
        <v>258</v>
      </c>
      <c r="E78" s="16">
        <v>950764429</v>
      </c>
      <c r="F78" s="16">
        <v>954996381</v>
      </c>
      <c r="G78" s="35" t="s">
        <v>497</v>
      </c>
      <c r="H78" s="1" t="s">
        <v>39</v>
      </c>
      <c r="I78" s="1" t="s">
        <v>57</v>
      </c>
      <c r="J78" s="1">
        <v>232</v>
      </c>
      <c r="K78" s="18" t="s">
        <v>54</v>
      </c>
      <c r="L78" s="13" t="s">
        <v>380</v>
      </c>
      <c r="M78" s="40">
        <v>45582</v>
      </c>
      <c r="N78" s="40">
        <f t="shared" ca="1" si="6"/>
        <v>45960</v>
      </c>
      <c r="O78" s="30">
        <f t="shared" ca="1" si="7"/>
        <v>1.0356164383561643</v>
      </c>
      <c r="P78" s="13" t="s">
        <v>36</v>
      </c>
      <c r="Q78" s="30">
        <f t="shared" ca="1" si="8"/>
        <v>1.0356164383561643</v>
      </c>
      <c r="R78" s="281" t="s">
        <v>36</v>
      </c>
    </row>
    <row r="79" spans="2:18" ht="12" customHeight="1" x14ac:dyDescent="0.25">
      <c r="B79" s="277">
        <v>73</v>
      </c>
      <c r="C79" s="210" t="s">
        <v>132</v>
      </c>
      <c r="D79" s="202" t="s">
        <v>133</v>
      </c>
      <c r="E79" s="16">
        <v>934536515</v>
      </c>
      <c r="F79" s="16"/>
      <c r="G79" s="35" t="s">
        <v>498</v>
      </c>
      <c r="H79" s="1" t="s">
        <v>39</v>
      </c>
      <c r="I79" s="1" t="s">
        <v>60</v>
      </c>
      <c r="J79" s="1">
        <v>233</v>
      </c>
      <c r="K79" s="17" t="s">
        <v>77</v>
      </c>
      <c r="L79" s="13" t="s">
        <v>380</v>
      </c>
      <c r="M79" s="40">
        <v>45625</v>
      </c>
      <c r="N79" s="40">
        <f t="shared" ca="1" si="6"/>
        <v>45960</v>
      </c>
      <c r="O79" s="30">
        <f t="shared" ca="1" si="7"/>
        <v>0.9178082191780822</v>
      </c>
      <c r="P79" s="13" t="s">
        <v>36</v>
      </c>
      <c r="Q79" s="30">
        <f t="shared" ca="1" si="8"/>
        <v>0.9178082191780822</v>
      </c>
      <c r="R79" s="281" t="s">
        <v>36</v>
      </c>
    </row>
    <row r="80" spans="2:18" ht="12" customHeight="1" x14ac:dyDescent="0.25">
      <c r="B80" s="277">
        <v>74</v>
      </c>
      <c r="C80" s="210" t="s">
        <v>499</v>
      </c>
      <c r="D80" s="205" t="s">
        <v>500</v>
      </c>
      <c r="E80" s="16">
        <v>982056965</v>
      </c>
      <c r="F80" s="16"/>
      <c r="G80" s="16"/>
      <c r="H80" s="1" t="s">
        <v>39</v>
      </c>
      <c r="I80" s="1" t="s">
        <v>60</v>
      </c>
      <c r="J80" s="1">
        <v>234</v>
      </c>
      <c r="K80" s="17" t="s">
        <v>77</v>
      </c>
      <c r="L80" s="13" t="s">
        <v>380</v>
      </c>
      <c r="M80" s="40">
        <v>45632</v>
      </c>
      <c r="N80" s="40">
        <f t="shared" ca="1" si="6"/>
        <v>45960</v>
      </c>
      <c r="O80" s="30">
        <f t="shared" ca="1" si="7"/>
        <v>0.89863013698630134</v>
      </c>
      <c r="P80" s="13" t="s">
        <v>36</v>
      </c>
      <c r="Q80" s="30">
        <f t="shared" ca="1" si="8"/>
        <v>0.89863013698630134</v>
      </c>
      <c r="R80" s="281" t="s">
        <v>36</v>
      </c>
    </row>
    <row r="81" spans="2:18" ht="12" customHeight="1" x14ac:dyDescent="0.25">
      <c r="B81" s="277">
        <v>75</v>
      </c>
      <c r="C81" s="210" t="s">
        <v>140</v>
      </c>
      <c r="D81" s="205" t="s">
        <v>141</v>
      </c>
      <c r="E81" s="16">
        <v>978932505</v>
      </c>
      <c r="F81" s="16"/>
      <c r="G81" s="35" t="s">
        <v>501</v>
      </c>
      <c r="H81" s="1" t="s">
        <v>39</v>
      </c>
      <c r="I81" s="1" t="s">
        <v>60</v>
      </c>
      <c r="J81" s="1">
        <v>235</v>
      </c>
      <c r="K81" s="21" t="s">
        <v>105</v>
      </c>
      <c r="L81" s="13" t="s">
        <v>380</v>
      </c>
      <c r="M81" s="40">
        <v>45636</v>
      </c>
      <c r="N81" s="40">
        <f t="shared" ca="1" si="6"/>
        <v>45960</v>
      </c>
      <c r="O81" s="30">
        <f t="shared" ca="1" si="7"/>
        <v>0.88767123287671235</v>
      </c>
      <c r="P81" s="13" t="s">
        <v>36</v>
      </c>
      <c r="Q81" s="30">
        <f t="shared" ca="1" si="8"/>
        <v>0.88767123287671235</v>
      </c>
      <c r="R81" s="281" t="s">
        <v>36</v>
      </c>
    </row>
    <row r="82" spans="2:18" ht="12" customHeight="1" x14ac:dyDescent="0.25">
      <c r="B82" s="277">
        <v>76</v>
      </c>
      <c r="C82" s="210" t="s">
        <v>165</v>
      </c>
      <c r="D82" s="205" t="s">
        <v>166</v>
      </c>
      <c r="E82" s="16">
        <v>932500660</v>
      </c>
      <c r="F82" s="16">
        <v>932500660</v>
      </c>
      <c r="G82" s="220" t="s">
        <v>502</v>
      </c>
      <c r="H82" s="1" t="s">
        <v>39</v>
      </c>
      <c r="I82" s="1" t="s">
        <v>60</v>
      </c>
      <c r="J82" s="1">
        <v>236</v>
      </c>
      <c r="K82" s="17" t="s">
        <v>77</v>
      </c>
      <c r="L82" s="13" t="s">
        <v>380</v>
      </c>
      <c r="M82" s="40">
        <v>45625</v>
      </c>
      <c r="N82" s="40">
        <f t="shared" ca="1" si="6"/>
        <v>45960</v>
      </c>
      <c r="O82" s="30">
        <f t="shared" ca="1" si="7"/>
        <v>0.9178082191780822</v>
      </c>
      <c r="P82" s="13" t="s">
        <v>36</v>
      </c>
      <c r="Q82" s="30">
        <f t="shared" ca="1" si="8"/>
        <v>0.9178082191780822</v>
      </c>
      <c r="R82" s="281" t="s">
        <v>36</v>
      </c>
    </row>
    <row r="83" spans="2:18" ht="12" customHeight="1" x14ac:dyDescent="0.25">
      <c r="B83" s="277">
        <v>77</v>
      </c>
      <c r="C83" s="210" t="s">
        <v>184</v>
      </c>
      <c r="D83" s="205" t="s">
        <v>185</v>
      </c>
      <c r="E83" s="16">
        <v>942811635</v>
      </c>
      <c r="F83" s="16">
        <v>977434754</v>
      </c>
      <c r="G83" s="35" t="s">
        <v>503</v>
      </c>
      <c r="H83" s="1" t="s">
        <v>39</v>
      </c>
      <c r="I83" s="1" t="s">
        <v>60</v>
      </c>
      <c r="J83" s="1">
        <v>237</v>
      </c>
      <c r="K83" s="20" t="s">
        <v>82</v>
      </c>
      <c r="L83" s="13" t="s">
        <v>380</v>
      </c>
      <c r="M83" s="40">
        <v>45590</v>
      </c>
      <c r="N83" s="40">
        <f t="shared" ca="1" si="6"/>
        <v>45960</v>
      </c>
      <c r="O83" s="30">
        <f t="shared" ca="1" si="7"/>
        <v>1.0136986301369864</v>
      </c>
      <c r="P83" s="13" t="s">
        <v>36</v>
      </c>
      <c r="Q83" s="30">
        <f t="shared" ca="1" si="8"/>
        <v>1.0136986301369864</v>
      </c>
      <c r="R83" s="281" t="s">
        <v>36</v>
      </c>
    </row>
    <row r="84" spans="2:18" ht="12" customHeight="1" x14ac:dyDescent="0.25">
      <c r="B84" s="277">
        <v>78</v>
      </c>
      <c r="C84" s="210" t="s">
        <v>504</v>
      </c>
      <c r="D84" s="205" t="s">
        <v>505</v>
      </c>
      <c r="E84" s="16">
        <v>948152457</v>
      </c>
      <c r="F84" s="16">
        <v>932789037</v>
      </c>
      <c r="G84" s="35" t="s">
        <v>506</v>
      </c>
      <c r="H84" s="1" t="s">
        <v>39</v>
      </c>
      <c r="I84" s="1" t="s">
        <v>60</v>
      </c>
      <c r="J84" s="1">
        <v>238</v>
      </c>
      <c r="K84" s="18" t="s">
        <v>54</v>
      </c>
      <c r="L84" s="13" t="s">
        <v>380</v>
      </c>
      <c r="M84" s="40">
        <v>45582</v>
      </c>
      <c r="N84" s="40">
        <f t="shared" ca="1" si="6"/>
        <v>45960</v>
      </c>
      <c r="O84" s="30">
        <f t="shared" ca="1" si="7"/>
        <v>1.0356164383561643</v>
      </c>
      <c r="P84" s="13" t="s">
        <v>36</v>
      </c>
      <c r="Q84" s="30">
        <f t="shared" ca="1" si="8"/>
        <v>1.0356164383561643</v>
      </c>
      <c r="R84" s="281" t="s">
        <v>36</v>
      </c>
    </row>
    <row r="85" spans="2:18" ht="12" customHeight="1" x14ac:dyDescent="0.25">
      <c r="B85" s="277">
        <v>79</v>
      </c>
      <c r="C85" s="210" t="s">
        <v>98</v>
      </c>
      <c r="D85" s="202" t="s">
        <v>99</v>
      </c>
      <c r="E85" s="16">
        <v>982581766</v>
      </c>
      <c r="F85" s="16">
        <v>978443715</v>
      </c>
      <c r="G85" s="35" t="s">
        <v>507</v>
      </c>
      <c r="H85" s="1" t="s">
        <v>39</v>
      </c>
      <c r="I85" s="1" t="s">
        <v>60</v>
      </c>
      <c r="J85" s="1">
        <v>239</v>
      </c>
      <c r="K85" s="18" t="s">
        <v>54</v>
      </c>
      <c r="L85" s="13" t="s">
        <v>380</v>
      </c>
      <c r="M85" s="40">
        <v>45582</v>
      </c>
      <c r="N85" s="40">
        <f t="shared" ca="1" si="6"/>
        <v>45960</v>
      </c>
      <c r="O85" s="30">
        <f t="shared" ca="1" si="7"/>
        <v>1.0356164383561643</v>
      </c>
      <c r="P85" s="13" t="s">
        <v>36</v>
      </c>
      <c r="Q85" s="30">
        <f t="shared" ca="1" si="8"/>
        <v>1.0356164383561643</v>
      </c>
      <c r="R85" s="281" t="s">
        <v>36</v>
      </c>
    </row>
    <row r="86" spans="2:18" ht="12" customHeight="1" x14ac:dyDescent="0.25">
      <c r="B86" s="277">
        <v>80</v>
      </c>
      <c r="C86" s="210" t="s">
        <v>226</v>
      </c>
      <c r="D86" s="205" t="s">
        <v>227</v>
      </c>
      <c r="E86" s="16">
        <v>976259434</v>
      </c>
      <c r="F86" s="16">
        <v>872233323</v>
      </c>
      <c r="G86" s="35" t="s">
        <v>508</v>
      </c>
      <c r="H86" s="1" t="s">
        <v>39</v>
      </c>
      <c r="I86" s="1" t="s">
        <v>60</v>
      </c>
      <c r="J86" s="1">
        <v>240</v>
      </c>
      <c r="K86" s="18" t="s">
        <v>54</v>
      </c>
      <c r="L86" s="13" t="s">
        <v>380</v>
      </c>
      <c r="M86" s="40">
        <v>45582</v>
      </c>
      <c r="N86" s="40">
        <f t="shared" ca="1" si="6"/>
        <v>45960</v>
      </c>
      <c r="O86" s="30">
        <f t="shared" ca="1" si="7"/>
        <v>1.0356164383561643</v>
      </c>
      <c r="P86" s="13" t="s">
        <v>36</v>
      </c>
      <c r="Q86" s="30">
        <f t="shared" ca="1" si="8"/>
        <v>1.0356164383561643</v>
      </c>
      <c r="R86" s="281" t="s">
        <v>36</v>
      </c>
    </row>
    <row r="87" spans="2:18" ht="12" customHeight="1" x14ac:dyDescent="0.25">
      <c r="B87" s="277">
        <v>81</v>
      </c>
      <c r="C87" s="210" t="s">
        <v>116</v>
      </c>
      <c r="D87" s="202" t="s">
        <v>117</v>
      </c>
      <c r="E87" s="16">
        <v>995486824</v>
      </c>
      <c r="F87" s="16"/>
      <c r="G87" s="35" t="s">
        <v>509</v>
      </c>
      <c r="H87" s="1" t="s">
        <v>34</v>
      </c>
      <c r="I87" s="1" t="s">
        <v>97</v>
      </c>
      <c r="J87" s="1">
        <v>301</v>
      </c>
      <c r="K87" s="17" t="s">
        <v>77</v>
      </c>
      <c r="L87" s="13" t="s">
        <v>380</v>
      </c>
      <c r="M87" s="40">
        <v>45590</v>
      </c>
      <c r="N87" s="40">
        <f t="shared" ca="1" si="6"/>
        <v>45960</v>
      </c>
      <c r="O87" s="30">
        <f t="shared" ca="1" si="7"/>
        <v>1.0136986301369864</v>
      </c>
      <c r="P87" s="13" t="s">
        <v>36</v>
      </c>
      <c r="Q87" s="30">
        <f t="shared" ca="1" si="8"/>
        <v>1.0136986301369864</v>
      </c>
      <c r="R87" s="281" t="s">
        <v>36</v>
      </c>
    </row>
    <row r="88" spans="2:18" ht="12" customHeight="1" x14ac:dyDescent="0.25">
      <c r="B88" s="277">
        <v>82</v>
      </c>
      <c r="C88" s="210" t="s">
        <v>199</v>
      </c>
      <c r="D88" s="202" t="s">
        <v>200</v>
      </c>
      <c r="E88" s="16">
        <v>964389934</v>
      </c>
      <c r="F88" s="16"/>
      <c r="G88" s="35" t="s">
        <v>510</v>
      </c>
      <c r="H88" s="1" t="s">
        <v>34</v>
      </c>
      <c r="I88" s="1" t="s">
        <v>97</v>
      </c>
      <c r="J88" s="1">
        <v>302</v>
      </c>
      <c r="K88" s="21" t="s">
        <v>105</v>
      </c>
      <c r="L88" s="13" t="s">
        <v>380</v>
      </c>
      <c r="M88" s="40">
        <v>45642</v>
      </c>
      <c r="N88" s="40">
        <f t="shared" ca="1" si="6"/>
        <v>45960</v>
      </c>
      <c r="O88" s="30">
        <f t="shared" ca="1" si="7"/>
        <v>0.87123287671232874</v>
      </c>
      <c r="P88" s="13" t="s">
        <v>36</v>
      </c>
      <c r="Q88" s="30">
        <f t="shared" ca="1" si="8"/>
        <v>0.87123287671232874</v>
      </c>
      <c r="R88" s="281" t="s">
        <v>36</v>
      </c>
    </row>
    <row r="89" spans="2:18" ht="12" customHeight="1" x14ac:dyDescent="0.25">
      <c r="B89" s="277">
        <v>83</v>
      </c>
      <c r="C89" s="227" t="s">
        <v>511</v>
      </c>
      <c r="D89" s="204" t="s">
        <v>512</v>
      </c>
      <c r="E89" s="16">
        <v>956677623</v>
      </c>
      <c r="F89" s="16"/>
      <c r="G89" s="159" t="s">
        <v>513</v>
      </c>
      <c r="H89" s="1" t="s">
        <v>34</v>
      </c>
      <c r="I89" s="1" t="s">
        <v>97</v>
      </c>
      <c r="J89" s="1">
        <v>303</v>
      </c>
      <c r="K89" s="17" t="s">
        <v>77</v>
      </c>
      <c r="L89" s="13" t="s">
        <v>380</v>
      </c>
      <c r="M89" s="40">
        <v>45862</v>
      </c>
      <c r="N89" s="40">
        <f t="shared" ca="1" si="6"/>
        <v>45960</v>
      </c>
      <c r="O89" s="30">
        <f t="shared" ca="1" si="7"/>
        <v>0.26849315068493151</v>
      </c>
      <c r="P89" s="13" t="s">
        <v>36</v>
      </c>
      <c r="Q89" s="30">
        <f t="shared" ca="1" si="8"/>
        <v>0.26849315068493151</v>
      </c>
      <c r="R89" s="281" t="s">
        <v>36</v>
      </c>
    </row>
    <row r="90" spans="2:18" ht="12" customHeight="1" x14ac:dyDescent="0.25">
      <c r="B90" s="277">
        <v>84</v>
      </c>
      <c r="C90" s="210" t="s">
        <v>204</v>
      </c>
      <c r="D90" s="205" t="s">
        <v>205</v>
      </c>
      <c r="E90" s="16">
        <v>962341100</v>
      </c>
      <c r="F90" s="16"/>
      <c r="G90" s="16"/>
      <c r="H90" s="1" t="s">
        <v>34</v>
      </c>
      <c r="I90" s="1" t="s">
        <v>97</v>
      </c>
      <c r="J90" s="1">
        <v>304</v>
      </c>
      <c r="K90" s="17" t="s">
        <v>77</v>
      </c>
      <c r="L90" s="267" t="s">
        <v>380</v>
      </c>
      <c r="M90" s="40">
        <v>45671</v>
      </c>
      <c r="N90" s="40">
        <f t="shared" ca="1" si="6"/>
        <v>45960</v>
      </c>
      <c r="O90" s="30">
        <f t="shared" ca="1" si="7"/>
        <v>0.79178082191780819</v>
      </c>
      <c r="P90" s="13" t="s">
        <v>36</v>
      </c>
      <c r="Q90" s="30">
        <f t="shared" ca="1" si="8"/>
        <v>0.79178082191780819</v>
      </c>
      <c r="R90" s="281" t="s">
        <v>36</v>
      </c>
    </row>
    <row r="91" spans="2:18" ht="12" customHeight="1" x14ac:dyDescent="0.25">
      <c r="B91" s="277">
        <v>85</v>
      </c>
      <c r="C91" s="210" t="s">
        <v>251</v>
      </c>
      <c r="D91" s="205" t="s">
        <v>252</v>
      </c>
      <c r="E91" s="16">
        <v>982410637</v>
      </c>
      <c r="F91" s="16"/>
      <c r="G91" s="16"/>
      <c r="H91" s="1" t="s">
        <v>34</v>
      </c>
      <c r="I91" s="1" t="s">
        <v>97</v>
      </c>
      <c r="J91" s="1">
        <v>305</v>
      </c>
      <c r="K91" s="17" t="s">
        <v>77</v>
      </c>
      <c r="L91" s="13" t="s">
        <v>380</v>
      </c>
      <c r="M91" s="40">
        <v>45730</v>
      </c>
      <c r="N91" s="40">
        <f t="shared" ca="1" si="6"/>
        <v>45960</v>
      </c>
      <c r="O91" s="30">
        <f t="shared" ca="1" si="7"/>
        <v>0.63013698630136983</v>
      </c>
      <c r="P91" s="13" t="s">
        <v>36</v>
      </c>
      <c r="Q91" s="30">
        <f t="shared" ca="1" si="8"/>
        <v>0.63013698630136983</v>
      </c>
      <c r="R91" s="281" t="s">
        <v>36</v>
      </c>
    </row>
    <row r="92" spans="2:18" ht="12" customHeight="1" x14ac:dyDescent="0.25">
      <c r="B92" s="277">
        <v>86</v>
      </c>
      <c r="C92" s="227" t="s">
        <v>514</v>
      </c>
      <c r="D92" s="204" t="s">
        <v>515</v>
      </c>
      <c r="E92" s="16">
        <v>942770177</v>
      </c>
      <c r="F92" s="16">
        <v>968729723</v>
      </c>
      <c r="G92" s="16"/>
      <c r="H92" s="1" t="s">
        <v>34</v>
      </c>
      <c r="I92" s="1" t="s">
        <v>97</v>
      </c>
      <c r="J92" s="1">
        <v>306</v>
      </c>
      <c r="K92" s="17" t="s">
        <v>77</v>
      </c>
      <c r="L92" s="13" t="s">
        <v>380</v>
      </c>
      <c r="M92" s="40">
        <v>45729</v>
      </c>
      <c r="N92" s="40">
        <f t="shared" ca="1" si="6"/>
        <v>45960</v>
      </c>
      <c r="O92" s="30">
        <f t="shared" ca="1" si="7"/>
        <v>0.63287671232876708</v>
      </c>
      <c r="P92" s="13" t="s">
        <v>36</v>
      </c>
      <c r="Q92" s="30">
        <f t="shared" ca="1" si="8"/>
        <v>0.63287671232876708</v>
      </c>
      <c r="R92" s="281" t="s">
        <v>36</v>
      </c>
    </row>
    <row r="93" spans="2:18" ht="12" customHeight="1" x14ac:dyDescent="0.25">
      <c r="B93" s="277">
        <v>87</v>
      </c>
      <c r="C93" s="210" t="s">
        <v>103</v>
      </c>
      <c r="D93" s="202" t="s">
        <v>104</v>
      </c>
      <c r="E93" s="16">
        <v>959535164</v>
      </c>
      <c r="F93" s="16"/>
      <c r="G93" s="220" t="s">
        <v>516</v>
      </c>
      <c r="H93" s="1" t="s">
        <v>34</v>
      </c>
      <c r="I93" s="1" t="s">
        <v>97</v>
      </c>
      <c r="J93" s="1">
        <v>307</v>
      </c>
      <c r="K93" s="21" t="s">
        <v>105</v>
      </c>
      <c r="L93" s="13" t="s">
        <v>380</v>
      </c>
      <c r="M93" s="40">
        <v>45604</v>
      </c>
      <c r="N93" s="40">
        <f t="shared" ca="1" si="6"/>
        <v>45960</v>
      </c>
      <c r="O93" s="30">
        <f t="shared" ca="1" si="7"/>
        <v>0.97534246575342465</v>
      </c>
      <c r="P93" s="13" t="s">
        <v>36</v>
      </c>
      <c r="Q93" s="30">
        <f t="shared" ca="1" si="8"/>
        <v>0.97534246575342465</v>
      </c>
      <c r="R93" s="281" t="s">
        <v>36</v>
      </c>
    </row>
    <row r="94" spans="2:18" ht="12" customHeight="1" x14ac:dyDescent="0.25">
      <c r="B94" s="277">
        <v>88</v>
      </c>
      <c r="C94" s="210" t="s">
        <v>156</v>
      </c>
      <c r="D94" s="205" t="s">
        <v>157</v>
      </c>
      <c r="E94" s="16">
        <v>988473260</v>
      </c>
      <c r="F94" s="16"/>
      <c r="G94" s="220" t="s">
        <v>517</v>
      </c>
      <c r="H94" s="1" t="s">
        <v>34</v>
      </c>
      <c r="I94" s="1" t="s">
        <v>97</v>
      </c>
      <c r="J94" s="1">
        <v>308</v>
      </c>
      <c r="K94" s="17" t="s">
        <v>77</v>
      </c>
      <c r="L94" s="13" t="s">
        <v>380</v>
      </c>
      <c r="M94" s="40">
        <v>45594</v>
      </c>
      <c r="N94" s="40">
        <f t="shared" ca="1" si="6"/>
        <v>45960</v>
      </c>
      <c r="O94" s="30">
        <f t="shared" ca="1" si="7"/>
        <v>1.0027397260273974</v>
      </c>
      <c r="P94" s="13" t="s">
        <v>36</v>
      </c>
      <c r="Q94" s="30">
        <f t="shared" ca="1" si="8"/>
        <v>1.0027397260273974</v>
      </c>
      <c r="R94" s="281" t="s">
        <v>36</v>
      </c>
    </row>
    <row r="95" spans="2:18" ht="12" customHeight="1" x14ac:dyDescent="0.25">
      <c r="B95" s="277">
        <v>89</v>
      </c>
      <c r="C95" s="213" t="s">
        <v>243</v>
      </c>
      <c r="D95" s="206" t="s">
        <v>244</v>
      </c>
      <c r="E95" s="16">
        <v>962761242</v>
      </c>
      <c r="F95" s="16">
        <v>95848672</v>
      </c>
      <c r="G95" s="220" t="s">
        <v>518</v>
      </c>
      <c r="H95" s="1" t="s">
        <v>34</v>
      </c>
      <c r="I95" s="1" t="s">
        <v>65</v>
      </c>
      <c r="J95" s="1">
        <v>309</v>
      </c>
      <c r="K95" s="17" t="s">
        <v>77</v>
      </c>
      <c r="L95" s="13" t="s">
        <v>380</v>
      </c>
      <c r="M95" s="40">
        <v>45702</v>
      </c>
      <c r="N95" s="40">
        <f t="shared" ca="1" si="6"/>
        <v>45960</v>
      </c>
      <c r="O95" s="30">
        <f t="shared" ca="1" si="7"/>
        <v>0.70684931506849313</v>
      </c>
      <c r="P95" s="13" t="s">
        <v>36</v>
      </c>
      <c r="Q95" s="30">
        <f t="shared" ca="1" si="8"/>
        <v>0.70684931506849313</v>
      </c>
      <c r="R95" s="281" t="s">
        <v>36</v>
      </c>
    </row>
    <row r="96" spans="2:18" ht="12" customHeight="1" x14ac:dyDescent="0.25">
      <c r="B96" s="277">
        <v>90</v>
      </c>
      <c r="C96" s="210" t="s">
        <v>106</v>
      </c>
      <c r="D96" s="205" t="s">
        <v>519</v>
      </c>
      <c r="E96" s="16">
        <v>949961881</v>
      </c>
      <c r="F96" s="16"/>
      <c r="G96" s="35" t="s">
        <v>520</v>
      </c>
      <c r="H96" s="1" t="s">
        <v>34</v>
      </c>
      <c r="I96" s="1" t="s">
        <v>65</v>
      </c>
      <c r="J96" s="1">
        <v>310</v>
      </c>
      <c r="K96" s="20" t="s">
        <v>82</v>
      </c>
      <c r="L96" s="13" t="s">
        <v>380</v>
      </c>
      <c r="M96" s="40">
        <v>45589</v>
      </c>
      <c r="N96" s="40">
        <f t="shared" ca="1" si="6"/>
        <v>45960</v>
      </c>
      <c r="O96" s="30">
        <f t="shared" ca="1" si="7"/>
        <v>1.0164383561643835</v>
      </c>
      <c r="P96" s="13" t="s">
        <v>36</v>
      </c>
      <c r="Q96" s="30">
        <f t="shared" ca="1" si="8"/>
        <v>1.0164383561643835</v>
      </c>
      <c r="R96" s="281" t="s">
        <v>36</v>
      </c>
    </row>
    <row r="97" spans="2:18" ht="12" customHeight="1" x14ac:dyDescent="0.25">
      <c r="B97" s="277">
        <v>91</v>
      </c>
      <c r="C97" s="210" t="s">
        <v>279</v>
      </c>
      <c r="D97" s="205" t="s">
        <v>210</v>
      </c>
      <c r="E97" s="16">
        <v>995957123</v>
      </c>
      <c r="F97" s="16">
        <v>972658949</v>
      </c>
      <c r="G97" s="258" t="s">
        <v>521</v>
      </c>
      <c r="H97" s="1" t="s">
        <v>34</v>
      </c>
      <c r="I97" s="1" t="s">
        <v>65</v>
      </c>
      <c r="J97" s="1">
        <v>311</v>
      </c>
      <c r="K97" s="17" t="s">
        <v>77</v>
      </c>
      <c r="L97" s="13" t="s">
        <v>380</v>
      </c>
      <c r="M97" s="40">
        <v>45681</v>
      </c>
      <c r="N97" s="40">
        <f t="shared" ca="1" si="6"/>
        <v>45960</v>
      </c>
      <c r="O97" s="30">
        <f t="shared" ca="1" si="7"/>
        <v>0.76438356164383559</v>
      </c>
      <c r="P97" s="13" t="s">
        <v>36</v>
      </c>
      <c r="Q97" s="30">
        <f t="shared" ca="1" si="8"/>
        <v>0.76438356164383559</v>
      </c>
      <c r="R97" s="281" t="s">
        <v>36</v>
      </c>
    </row>
    <row r="98" spans="2:18" ht="12" customHeight="1" x14ac:dyDescent="0.25">
      <c r="B98" s="277">
        <v>92</v>
      </c>
      <c r="C98" s="214" t="s">
        <v>217</v>
      </c>
      <c r="D98" s="206" t="s">
        <v>218</v>
      </c>
      <c r="E98" s="16">
        <v>982164065</v>
      </c>
      <c r="F98" s="16"/>
      <c r="G98" s="220" t="s">
        <v>522</v>
      </c>
      <c r="H98" s="1" t="s">
        <v>34</v>
      </c>
      <c r="I98" s="1" t="s">
        <v>65</v>
      </c>
      <c r="J98" s="1">
        <v>312</v>
      </c>
      <c r="K98" s="17" t="s">
        <v>77</v>
      </c>
      <c r="L98" s="13" t="s">
        <v>380</v>
      </c>
      <c r="M98" s="40">
        <v>45716</v>
      </c>
      <c r="N98" s="40">
        <f t="shared" ca="1" si="6"/>
        <v>45960</v>
      </c>
      <c r="O98" s="30">
        <f t="shared" ca="1" si="7"/>
        <v>0.66849315068493154</v>
      </c>
      <c r="P98" s="13" t="s">
        <v>36</v>
      </c>
      <c r="Q98" s="30">
        <f t="shared" ca="1" si="8"/>
        <v>0.66849315068493154</v>
      </c>
      <c r="R98" s="281" t="s">
        <v>36</v>
      </c>
    </row>
    <row r="99" spans="2:18" ht="12" customHeight="1" x14ac:dyDescent="0.25">
      <c r="B99" s="277">
        <v>93</v>
      </c>
      <c r="C99" s="210" t="s">
        <v>523</v>
      </c>
      <c r="D99" s="202" t="s">
        <v>524</v>
      </c>
      <c r="E99" s="16">
        <v>930197987</v>
      </c>
      <c r="F99" s="16">
        <v>990465339</v>
      </c>
      <c r="G99" s="35" t="s">
        <v>525</v>
      </c>
      <c r="H99" s="1" t="s">
        <v>34</v>
      </c>
      <c r="I99" s="1" t="s">
        <v>65</v>
      </c>
      <c r="J99" s="1">
        <v>313</v>
      </c>
      <c r="K99" s="18" t="s">
        <v>54</v>
      </c>
      <c r="L99" s="13" t="s">
        <v>380</v>
      </c>
      <c r="M99" s="40">
        <v>45582</v>
      </c>
      <c r="N99" s="40">
        <f t="shared" ca="1" si="6"/>
        <v>45960</v>
      </c>
      <c r="O99" s="30">
        <f t="shared" ca="1" si="7"/>
        <v>1.0356164383561643</v>
      </c>
      <c r="P99" s="13" t="s">
        <v>36</v>
      </c>
      <c r="Q99" s="30">
        <f t="shared" ca="1" si="8"/>
        <v>1.0356164383561643</v>
      </c>
      <c r="R99" s="281" t="s">
        <v>36</v>
      </c>
    </row>
    <row r="100" spans="2:18" ht="12" customHeight="1" x14ac:dyDescent="0.25">
      <c r="B100" s="277">
        <v>94</v>
      </c>
      <c r="C100" s="210" t="s">
        <v>526</v>
      </c>
      <c r="D100" s="202" t="s">
        <v>527</v>
      </c>
      <c r="E100" s="16">
        <v>975222018</v>
      </c>
      <c r="F100" s="16"/>
      <c r="G100" s="35" t="s">
        <v>528</v>
      </c>
      <c r="H100" s="1" t="s">
        <v>34</v>
      </c>
      <c r="I100" s="1" t="s">
        <v>65</v>
      </c>
      <c r="J100" s="1">
        <v>314</v>
      </c>
      <c r="K100" s="18" t="s">
        <v>54</v>
      </c>
      <c r="L100" s="13" t="s">
        <v>380</v>
      </c>
      <c r="M100" s="40">
        <v>45582</v>
      </c>
      <c r="N100" s="40">
        <f t="shared" ca="1" si="6"/>
        <v>45960</v>
      </c>
      <c r="O100" s="30">
        <f t="shared" ca="1" si="7"/>
        <v>1.0356164383561643</v>
      </c>
      <c r="P100" s="13" t="s">
        <v>36</v>
      </c>
      <c r="Q100" s="30">
        <f t="shared" ca="1" si="8"/>
        <v>1.0356164383561643</v>
      </c>
      <c r="R100" s="281" t="s">
        <v>36</v>
      </c>
    </row>
    <row r="101" spans="2:18" ht="12" customHeight="1" x14ac:dyDescent="0.25">
      <c r="B101" s="277">
        <v>95</v>
      </c>
      <c r="C101" s="210" t="s">
        <v>122</v>
      </c>
      <c r="D101" s="205" t="s">
        <v>123</v>
      </c>
      <c r="E101" s="16">
        <v>983990399</v>
      </c>
      <c r="F101" s="16">
        <v>983990399</v>
      </c>
      <c r="G101" s="35"/>
      <c r="H101" s="1" t="s">
        <v>34</v>
      </c>
      <c r="I101" s="1" t="s">
        <v>65</v>
      </c>
      <c r="J101" s="1">
        <v>315</v>
      </c>
      <c r="K101" s="18" t="s">
        <v>54</v>
      </c>
      <c r="L101" s="13" t="s">
        <v>380</v>
      </c>
      <c r="M101" s="40">
        <v>45600</v>
      </c>
      <c r="N101" s="40">
        <f t="shared" ca="1" si="6"/>
        <v>45960</v>
      </c>
      <c r="O101" s="30">
        <f t="shared" ca="1" si="7"/>
        <v>0.98630136986301364</v>
      </c>
      <c r="P101" s="13" t="s">
        <v>36</v>
      </c>
      <c r="Q101" s="30">
        <f t="shared" ca="1" si="8"/>
        <v>0.98630136986301364</v>
      </c>
      <c r="R101" s="281" t="s">
        <v>36</v>
      </c>
    </row>
    <row r="102" spans="2:18" ht="12" customHeight="1" x14ac:dyDescent="0.25">
      <c r="B102" s="277">
        <v>96</v>
      </c>
      <c r="C102" s="227" t="s">
        <v>242</v>
      </c>
      <c r="D102" s="204" t="s">
        <v>288</v>
      </c>
      <c r="E102" s="16">
        <v>961510071</v>
      </c>
      <c r="F102" s="16">
        <v>974590342</v>
      </c>
      <c r="G102" s="220" t="s">
        <v>529</v>
      </c>
      <c r="H102" s="1" t="s">
        <v>34</v>
      </c>
      <c r="I102" s="1" t="s">
        <v>65</v>
      </c>
      <c r="J102" s="1">
        <v>316</v>
      </c>
      <c r="K102" s="20" t="s">
        <v>82</v>
      </c>
      <c r="L102" s="13" t="s">
        <v>380</v>
      </c>
      <c r="M102" s="40">
        <v>45777</v>
      </c>
      <c r="N102" s="40">
        <f t="shared" ca="1" si="6"/>
        <v>45960</v>
      </c>
      <c r="O102" s="30">
        <f t="shared" ca="1" si="7"/>
        <v>0.50136986301369868</v>
      </c>
      <c r="P102" s="13" t="s">
        <v>36</v>
      </c>
      <c r="Q102" s="30">
        <f t="shared" ca="1" si="8"/>
        <v>0.50136986301369868</v>
      </c>
      <c r="R102" s="281" t="s">
        <v>36</v>
      </c>
    </row>
    <row r="103" spans="2:18" ht="12" customHeight="1" x14ac:dyDescent="0.25">
      <c r="B103" s="277">
        <v>97</v>
      </c>
      <c r="C103" s="210" t="s">
        <v>171</v>
      </c>
      <c r="D103" s="205" t="s">
        <v>294</v>
      </c>
      <c r="E103" s="16">
        <v>974345200</v>
      </c>
      <c r="F103" s="16"/>
      <c r="G103" s="35" t="s">
        <v>530</v>
      </c>
      <c r="H103" s="1" t="s">
        <v>34</v>
      </c>
      <c r="I103" s="1" t="s">
        <v>53</v>
      </c>
      <c r="J103" s="1">
        <v>317</v>
      </c>
      <c r="K103" s="20" t="s">
        <v>82</v>
      </c>
      <c r="L103" s="13" t="s">
        <v>380</v>
      </c>
      <c r="M103" s="40">
        <v>45687</v>
      </c>
      <c r="N103" s="40">
        <f t="shared" ref="N103:N134" ca="1" si="9">+TODAY()</f>
        <v>45960</v>
      </c>
      <c r="O103" s="30">
        <f t="shared" ref="O103:O134" ca="1" si="10">+((N103-M103)/365)</f>
        <v>0.74794520547945209</v>
      </c>
      <c r="P103" s="13" t="s">
        <v>36</v>
      </c>
      <c r="Q103" s="30">
        <f t="shared" ref="Q103:Q134" ca="1" si="11">+((N103-M103)/365)</f>
        <v>0.74794520547945209</v>
      </c>
      <c r="R103" s="281" t="s">
        <v>36</v>
      </c>
    </row>
    <row r="104" spans="2:18" ht="12" customHeight="1" x14ac:dyDescent="0.25">
      <c r="B104" s="277">
        <v>98</v>
      </c>
      <c r="C104" s="210" t="s">
        <v>91</v>
      </c>
      <c r="D104" s="205" t="s">
        <v>92</v>
      </c>
      <c r="E104" s="16">
        <v>956162407</v>
      </c>
      <c r="F104" s="16">
        <v>982770808</v>
      </c>
      <c r="G104" s="258" t="s">
        <v>531</v>
      </c>
      <c r="H104" s="1" t="s">
        <v>34</v>
      </c>
      <c r="I104" s="1" t="s">
        <v>53</v>
      </c>
      <c r="J104" s="1">
        <v>318</v>
      </c>
      <c r="K104" s="18" t="s">
        <v>54</v>
      </c>
      <c r="L104" s="13" t="s">
        <v>380</v>
      </c>
      <c r="M104" s="40">
        <v>45582</v>
      </c>
      <c r="N104" s="40">
        <f t="shared" ca="1" si="9"/>
        <v>45960</v>
      </c>
      <c r="O104" s="30">
        <f t="shared" ca="1" si="10"/>
        <v>1.0356164383561643</v>
      </c>
      <c r="P104" s="13" t="s">
        <v>36</v>
      </c>
      <c r="Q104" s="30">
        <f t="shared" ca="1" si="11"/>
        <v>1.0356164383561643</v>
      </c>
      <c r="R104" s="281" t="s">
        <v>36</v>
      </c>
    </row>
    <row r="105" spans="2:18" ht="12" customHeight="1" x14ac:dyDescent="0.25">
      <c r="B105" s="277">
        <v>99</v>
      </c>
      <c r="C105" s="210" t="s">
        <v>532</v>
      </c>
      <c r="D105" s="202" t="s">
        <v>533</v>
      </c>
      <c r="E105" s="16">
        <v>957801408</v>
      </c>
      <c r="F105" s="16">
        <v>920933354</v>
      </c>
      <c r="G105" s="35" t="s">
        <v>534</v>
      </c>
      <c r="H105" s="1" t="s">
        <v>34</v>
      </c>
      <c r="I105" s="1" t="s">
        <v>53</v>
      </c>
      <c r="J105" s="1">
        <v>319</v>
      </c>
      <c r="K105" s="18" t="s">
        <v>54</v>
      </c>
      <c r="L105" s="13" t="s">
        <v>380</v>
      </c>
      <c r="M105" s="40">
        <v>45582</v>
      </c>
      <c r="N105" s="40">
        <f t="shared" ca="1" si="9"/>
        <v>45960</v>
      </c>
      <c r="O105" s="30">
        <f t="shared" ca="1" si="10"/>
        <v>1.0356164383561643</v>
      </c>
      <c r="P105" s="13" t="s">
        <v>36</v>
      </c>
      <c r="Q105" s="30">
        <f t="shared" ca="1" si="11"/>
        <v>1.0356164383561643</v>
      </c>
      <c r="R105" s="281" t="s">
        <v>36</v>
      </c>
    </row>
    <row r="106" spans="2:18" ht="12" customHeight="1" x14ac:dyDescent="0.25">
      <c r="B106" s="277">
        <v>100</v>
      </c>
      <c r="C106" s="210" t="s">
        <v>93</v>
      </c>
      <c r="D106" s="205" t="s">
        <v>94</v>
      </c>
      <c r="E106" s="16">
        <v>937072388</v>
      </c>
      <c r="F106" s="16"/>
      <c r="G106" s="35" t="s">
        <v>535</v>
      </c>
      <c r="H106" s="1" t="s">
        <v>34</v>
      </c>
      <c r="I106" s="1" t="s">
        <v>53</v>
      </c>
      <c r="J106" s="1">
        <v>320</v>
      </c>
      <c r="K106" s="18" t="s">
        <v>54</v>
      </c>
      <c r="L106" s="13" t="s">
        <v>380</v>
      </c>
      <c r="M106" s="40">
        <v>45582</v>
      </c>
      <c r="N106" s="40">
        <f t="shared" ca="1" si="9"/>
        <v>45960</v>
      </c>
      <c r="O106" s="30">
        <f t="shared" ca="1" si="10"/>
        <v>1.0356164383561643</v>
      </c>
      <c r="P106" s="13" t="s">
        <v>36</v>
      </c>
      <c r="Q106" s="30">
        <f t="shared" ca="1" si="11"/>
        <v>1.0356164383561643</v>
      </c>
      <c r="R106" s="281" t="s">
        <v>36</v>
      </c>
    </row>
    <row r="107" spans="2:18" ht="12" customHeight="1" x14ac:dyDescent="0.25">
      <c r="B107" s="277">
        <v>101</v>
      </c>
      <c r="C107" s="210" t="s">
        <v>176</v>
      </c>
      <c r="D107" s="202" t="s">
        <v>177</v>
      </c>
      <c r="E107" s="16">
        <v>956952179</v>
      </c>
      <c r="F107" s="16"/>
      <c r="G107" s="220" t="s">
        <v>536</v>
      </c>
      <c r="H107" s="1" t="s">
        <v>34</v>
      </c>
      <c r="I107" s="1" t="s">
        <v>53</v>
      </c>
      <c r="J107" s="1">
        <v>321</v>
      </c>
      <c r="K107" s="17" t="s">
        <v>77</v>
      </c>
      <c r="L107" s="13" t="s">
        <v>380</v>
      </c>
      <c r="M107" s="40">
        <v>45695</v>
      </c>
      <c r="N107" s="40">
        <f t="shared" ca="1" si="9"/>
        <v>45960</v>
      </c>
      <c r="O107" s="30">
        <f t="shared" ca="1" si="10"/>
        <v>0.72602739726027399</v>
      </c>
      <c r="P107" s="13" t="s">
        <v>36</v>
      </c>
      <c r="Q107" s="30">
        <f t="shared" ca="1" si="11"/>
        <v>0.72602739726027399</v>
      </c>
      <c r="R107" s="281" t="s">
        <v>36</v>
      </c>
    </row>
    <row r="108" spans="2:18" ht="12" customHeight="1" x14ac:dyDescent="0.25">
      <c r="B108" s="277">
        <v>102</v>
      </c>
      <c r="C108" s="227" t="s">
        <v>320</v>
      </c>
      <c r="D108" s="204" t="s">
        <v>537</v>
      </c>
      <c r="E108" s="16">
        <v>989723944</v>
      </c>
      <c r="F108" s="16">
        <v>994405903</v>
      </c>
      <c r="G108" s="159" t="s">
        <v>538</v>
      </c>
      <c r="H108" s="1" t="s">
        <v>34</v>
      </c>
      <c r="I108" s="1" t="s">
        <v>53</v>
      </c>
      <c r="J108" s="1">
        <v>322</v>
      </c>
      <c r="K108" s="17" t="s">
        <v>77</v>
      </c>
      <c r="L108" s="13" t="s">
        <v>380</v>
      </c>
      <c r="M108" s="40">
        <v>45840</v>
      </c>
      <c r="N108" s="40">
        <f t="shared" ca="1" si="9"/>
        <v>45960</v>
      </c>
      <c r="O108" s="30">
        <f t="shared" ca="1" si="10"/>
        <v>0.32876712328767121</v>
      </c>
      <c r="P108" s="13" t="s">
        <v>36</v>
      </c>
      <c r="Q108" s="30">
        <f t="shared" ca="1" si="11"/>
        <v>0.32876712328767121</v>
      </c>
      <c r="R108" s="281" t="s">
        <v>36</v>
      </c>
    </row>
    <row r="109" spans="2:18" ht="12" customHeight="1" x14ac:dyDescent="0.25">
      <c r="B109" s="277">
        <v>103</v>
      </c>
      <c r="C109" s="210" t="s">
        <v>109</v>
      </c>
      <c r="D109" s="205" t="s">
        <v>110</v>
      </c>
      <c r="E109" s="16">
        <v>977538358</v>
      </c>
      <c r="F109" s="16">
        <v>984093479</v>
      </c>
      <c r="G109" s="35" t="s">
        <v>539</v>
      </c>
      <c r="H109" s="1" t="s">
        <v>34</v>
      </c>
      <c r="I109" s="1" t="s">
        <v>53</v>
      </c>
      <c r="J109" s="1">
        <v>323</v>
      </c>
      <c r="K109" s="21" t="s">
        <v>105</v>
      </c>
      <c r="L109" s="13" t="s">
        <v>380</v>
      </c>
      <c r="M109" s="40">
        <v>45604</v>
      </c>
      <c r="N109" s="40">
        <f t="shared" ca="1" si="9"/>
        <v>45960</v>
      </c>
      <c r="O109" s="30">
        <f t="shared" ca="1" si="10"/>
        <v>0.97534246575342465</v>
      </c>
      <c r="P109" s="13" t="s">
        <v>36</v>
      </c>
      <c r="Q109" s="30">
        <f t="shared" ca="1" si="11"/>
        <v>0.97534246575342465</v>
      </c>
      <c r="R109" s="281" t="s">
        <v>36</v>
      </c>
    </row>
    <row r="110" spans="2:18" ht="12" customHeight="1" x14ac:dyDescent="0.25">
      <c r="B110" s="277">
        <v>104</v>
      </c>
      <c r="C110" s="210" t="s">
        <v>255</v>
      </c>
      <c r="D110" s="205" t="s">
        <v>256</v>
      </c>
      <c r="E110" s="16">
        <v>966691053</v>
      </c>
      <c r="F110" s="16">
        <v>966691053</v>
      </c>
      <c r="G110" s="35" t="s">
        <v>540</v>
      </c>
      <c r="H110" s="1" t="s">
        <v>34</v>
      </c>
      <c r="I110" s="1" t="s">
        <v>53</v>
      </c>
      <c r="J110" s="1">
        <v>324</v>
      </c>
      <c r="K110" s="17" t="s">
        <v>77</v>
      </c>
      <c r="L110" s="13" t="s">
        <v>380</v>
      </c>
      <c r="M110" s="40">
        <v>45642</v>
      </c>
      <c r="N110" s="40">
        <f t="shared" ca="1" si="9"/>
        <v>45960</v>
      </c>
      <c r="O110" s="30">
        <f t="shared" ca="1" si="10"/>
        <v>0.87123287671232874</v>
      </c>
      <c r="P110" s="13" t="s">
        <v>36</v>
      </c>
      <c r="Q110" s="30">
        <f t="shared" ca="1" si="11"/>
        <v>0.87123287671232874</v>
      </c>
      <c r="R110" s="281" t="s">
        <v>36</v>
      </c>
    </row>
    <row r="111" spans="2:18" ht="12" customHeight="1" x14ac:dyDescent="0.3">
      <c r="B111" s="277">
        <v>105</v>
      </c>
      <c r="C111" s="241" t="s">
        <v>315</v>
      </c>
      <c r="D111" s="246" t="s">
        <v>328</v>
      </c>
      <c r="E111" s="16">
        <v>998840919</v>
      </c>
      <c r="F111" s="16"/>
      <c r="G111" s="248" t="s">
        <v>541</v>
      </c>
      <c r="H111" s="1" t="s">
        <v>39</v>
      </c>
      <c r="I111" s="1" t="s">
        <v>57</v>
      </c>
      <c r="J111" s="1">
        <v>325</v>
      </c>
      <c r="K111" s="17" t="s">
        <v>77</v>
      </c>
      <c r="L111" s="13" t="s">
        <v>380</v>
      </c>
      <c r="M111" s="40">
        <v>45898</v>
      </c>
      <c r="N111" s="40">
        <f t="shared" ca="1" si="9"/>
        <v>45960</v>
      </c>
      <c r="O111" s="30">
        <f t="shared" ca="1" si="10"/>
        <v>0.16986301369863013</v>
      </c>
      <c r="P111" s="13" t="s">
        <v>36</v>
      </c>
      <c r="Q111" s="30">
        <f t="shared" ca="1" si="11"/>
        <v>0.16986301369863013</v>
      </c>
      <c r="R111" s="281" t="s">
        <v>36</v>
      </c>
    </row>
    <row r="112" spans="2:18" ht="12" customHeight="1" x14ac:dyDescent="0.25">
      <c r="B112" s="277">
        <v>106</v>
      </c>
      <c r="C112" s="227" t="s">
        <v>223</v>
      </c>
      <c r="D112" s="204" t="s">
        <v>297</v>
      </c>
      <c r="E112" s="16">
        <v>933213415</v>
      </c>
      <c r="F112" s="16">
        <v>957984754</v>
      </c>
      <c r="G112" s="220" t="s">
        <v>542</v>
      </c>
      <c r="H112" s="1" t="s">
        <v>39</v>
      </c>
      <c r="I112" s="1" t="s">
        <v>57</v>
      </c>
      <c r="J112" s="1">
        <v>326</v>
      </c>
      <c r="K112" s="17" t="s">
        <v>77</v>
      </c>
      <c r="L112" s="13" t="s">
        <v>380</v>
      </c>
      <c r="M112" s="40">
        <v>45758</v>
      </c>
      <c r="N112" s="40">
        <f t="shared" ca="1" si="9"/>
        <v>45960</v>
      </c>
      <c r="O112" s="30">
        <f t="shared" ca="1" si="10"/>
        <v>0.55342465753424652</v>
      </c>
      <c r="P112" s="13" t="s">
        <v>36</v>
      </c>
      <c r="Q112" s="30">
        <f t="shared" ca="1" si="11"/>
        <v>0.55342465753424652</v>
      </c>
      <c r="R112" s="281" t="s">
        <v>36</v>
      </c>
    </row>
    <row r="113" spans="2:18" ht="12" customHeight="1" x14ac:dyDescent="0.25">
      <c r="B113" s="277">
        <v>107</v>
      </c>
      <c r="C113" s="210" t="s">
        <v>206</v>
      </c>
      <c r="D113" s="202" t="s">
        <v>207</v>
      </c>
      <c r="E113" s="16">
        <v>993327754</v>
      </c>
      <c r="F113" s="16"/>
      <c r="G113" s="220" t="s">
        <v>543</v>
      </c>
      <c r="H113" s="1" t="s">
        <v>39</v>
      </c>
      <c r="I113" s="1" t="s">
        <v>57</v>
      </c>
      <c r="J113" s="1">
        <v>327</v>
      </c>
      <c r="K113" s="18" t="s">
        <v>54</v>
      </c>
      <c r="L113" s="13" t="s">
        <v>380</v>
      </c>
      <c r="M113" s="40">
        <v>45582</v>
      </c>
      <c r="N113" s="40">
        <f t="shared" ca="1" si="9"/>
        <v>45960</v>
      </c>
      <c r="O113" s="30">
        <f t="shared" ca="1" si="10"/>
        <v>1.0356164383561643</v>
      </c>
      <c r="P113" s="13" t="s">
        <v>36</v>
      </c>
      <c r="Q113" s="30">
        <f t="shared" ca="1" si="11"/>
        <v>1.0356164383561643</v>
      </c>
      <c r="R113" s="281" t="s">
        <v>36</v>
      </c>
    </row>
    <row r="114" spans="2:18" ht="12" customHeight="1" x14ac:dyDescent="0.25">
      <c r="B114" s="277">
        <v>108</v>
      </c>
      <c r="C114" s="210" t="s">
        <v>107</v>
      </c>
      <c r="D114" s="205" t="s">
        <v>108</v>
      </c>
      <c r="E114" s="16">
        <v>975526454</v>
      </c>
      <c r="F114" s="16">
        <v>982875004</v>
      </c>
      <c r="G114" s="220" t="s">
        <v>544</v>
      </c>
      <c r="H114" s="1" t="s">
        <v>39</v>
      </c>
      <c r="I114" s="1" t="s">
        <v>57</v>
      </c>
      <c r="J114" s="1">
        <v>328</v>
      </c>
      <c r="K114" s="17" t="s">
        <v>77</v>
      </c>
      <c r="L114" s="13" t="s">
        <v>380</v>
      </c>
      <c r="M114" s="40">
        <v>45611</v>
      </c>
      <c r="N114" s="40">
        <f t="shared" ca="1" si="9"/>
        <v>45960</v>
      </c>
      <c r="O114" s="30">
        <f t="shared" ca="1" si="10"/>
        <v>0.95616438356164379</v>
      </c>
      <c r="P114" s="13" t="s">
        <v>36</v>
      </c>
      <c r="Q114" s="30">
        <f t="shared" ca="1" si="11"/>
        <v>0.95616438356164379</v>
      </c>
      <c r="R114" s="281" t="s">
        <v>36</v>
      </c>
    </row>
    <row r="115" spans="2:18" ht="12" customHeight="1" x14ac:dyDescent="0.25">
      <c r="B115" s="277">
        <v>109</v>
      </c>
      <c r="C115" s="210" t="s">
        <v>238</v>
      </c>
      <c r="D115" s="205" t="s">
        <v>239</v>
      </c>
      <c r="E115" s="16">
        <v>99674833</v>
      </c>
      <c r="F115" s="16">
        <v>995768826</v>
      </c>
      <c r="G115" s="35" t="s">
        <v>545</v>
      </c>
      <c r="H115" s="1" t="s">
        <v>39</v>
      </c>
      <c r="I115" s="1" t="s">
        <v>57</v>
      </c>
      <c r="J115" s="1">
        <v>329</v>
      </c>
      <c r="K115" s="20" t="s">
        <v>82</v>
      </c>
      <c r="L115" s="13" t="s">
        <v>380</v>
      </c>
      <c r="M115" s="40">
        <v>45594</v>
      </c>
      <c r="N115" s="40">
        <f t="shared" ca="1" si="9"/>
        <v>45960</v>
      </c>
      <c r="O115" s="30">
        <f t="shared" ca="1" si="10"/>
        <v>1.0027397260273974</v>
      </c>
      <c r="P115" s="13" t="s">
        <v>36</v>
      </c>
      <c r="Q115" s="30">
        <f t="shared" ca="1" si="11"/>
        <v>1.0027397260273974</v>
      </c>
      <c r="R115" s="281" t="s">
        <v>36</v>
      </c>
    </row>
    <row r="116" spans="2:18" ht="12" customHeight="1" x14ac:dyDescent="0.25">
      <c r="B116" s="277">
        <v>110</v>
      </c>
      <c r="C116" s="210" t="s">
        <v>83</v>
      </c>
      <c r="D116" s="202" t="s">
        <v>84</v>
      </c>
      <c r="E116" s="16">
        <v>965906058</v>
      </c>
      <c r="F116" s="16">
        <v>933762779</v>
      </c>
      <c r="G116" s="220" t="s">
        <v>546</v>
      </c>
      <c r="H116" s="1" t="s">
        <v>39</v>
      </c>
      <c r="I116" s="1" t="s">
        <v>57</v>
      </c>
      <c r="J116" s="1">
        <v>330</v>
      </c>
      <c r="K116" s="18" t="s">
        <v>54</v>
      </c>
      <c r="L116" s="13" t="s">
        <v>380</v>
      </c>
      <c r="M116" s="40">
        <v>45582</v>
      </c>
      <c r="N116" s="40">
        <f t="shared" ca="1" si="9"/>
        <v>45960</v>
      </c>
      <c r="O116" s="30">
        <f t="shared" ca="1" si="10"/>
        <v>1.0356164383561643</v>
      </c>
      <c r="P116" s="13" t="s">
        <v>36</v>
      </c>
      <c r="Q116" s="30">
        <f t="shared" ca="1" si="11"/>
        <v>1.0356164383561643</v>
      </c>
      <c r="R116" s="281" t="s">
        <v>36</v>
      </c>
    </row>
    <row r="117" spans="2:18" ht="12" customHeight="1" x14ac:dyDescent="0.25">
      <c r="B117" s="277">
        <v>111</v>
      </c>
      <c r="C117" s="210" t="s">
        <v>547</v>
      </c>
      <c r="D117" s="205" t="s">
        <v>548</v>
      </c>
      <c r="E117" s="16">
        <v>951703431</v>
      </c>
      <c r="F117" s="16">
        <v>957945868</v>
      </c>
      <c r="G117" s="35" t="s">
        <v>549</v>
      </c>
      <c r="H117" s="1" t="s">
        <v>39</v>
      </c>
      <c r="I117" s="1" t="s">
        <v>57</v>
      </c>
      <c r="J117" s="1">
        <v>331</v>
      </c>
      <c r="K117" s="18" t="s">
        <v>54</v>
      </c>
      <c r="L117" s="13" t="s">
        <v>380</v>
      </c>
      <c r="M117" s="40">
        <v>45582</v>
      </c>
      <c r="N117" s="40">
        <f t="shared" ca="1" si="9"/>
        <v>45960</v>
      </c>
      <c r="O117" s="30">
        <f t="shared" ca="1" si="10"/>
        <v>1.0356164383561643</v>
      </c>
      <c r="P117" s="13" t="s">
        <v>36</v>
      </c>
      <c r="Q117" s="30">
        <f t="shared" ca="1" si="11"/>
        <v>1.0356164383561643</v>
      </c>
      <c r="R117" s="281" t="s">
        <v>36</v>
      </c>
    </row>
    <row r="118" spans="2:18" ht="12" customHeight="1" x14ac:dyDescent="0.25">
      <c r="B118" s="277">
        <v>112</v>
      </c>
      <c r="C118" s="210" t="s">
        <v>550</v>
      </c>
      <c r="D118" s="202" t="s">
        <v>551</v>
      </c>
      <c r="E118" s="16">
        <v>991304746</v>
      </c>
      <c r="F118" s="16">
        <v>957942986</v>
      </c>
      <c r="G118" s="35" t="s">
        <v>552</v>
      </c>
      <c r="H118" s="1" t="s">
        <v>39</v>
      </c>
      <c r="I118" s="1" t="s">
        <v>57</v>
      </c>
      <c r="J118" s="1">
        <v>332</v>
      </c>
      <c r="K118" s="18" t="s">
        <v>54</v>
      </c>
      <c r="L118" s="13" t="s">
        <v>380</v>
      </c>
      <c r="M118" s="40">
        <v>45582</v>
      </c>
      <c r="N118" s="40">
        <f t="shared" ca="1" si="9"/>
        <v>45960</v>
      </c>
      <c r="O118" s="30">
        <f t="shared" ca="1" si="10"/>
        <v>1.0356164383561643</v>
      </c>
      <c r="P118" s="13" t="s">
        <v>36</v>
      </c>
      <c r="Q118" s="30">
        <f t="shared" ca="1" si="11"/>
        <v>1.0356164383561643</v>
      </c>
      <c r="R118" s="281" t="s">
        <v>36</v>
      </c>
    </row>
    <row r="119" spans="2:18" ht="12" customHeight="1" x14ac:dyDescent="0.25">
      <c r="B119" s="277">
        <v>113</v>
      </c>
      <c r="C119" s="210" t="s">
        <v>201</v>
      </c>
      <c r="D119" s="202" t="s">
        <v>202</v>
      </c>
      <c r="E119" s="16">
        <v>990516256</v>
      </c>
      <c r="F119" s="16">
        <v>977999317</v>
      </c>
      <c r="G119" s="220" t="s">
        <v>553</v>
      </c>
      <c r="H119" s="1" t="s">
        <v>39</v>
      </c>
      <c r="I119" s="1" t="s">
        <v>60</v>
      </c>
      <c r="J119" s="1">
        <v>333</v>
      </c>
      <c r="K119" s="17" t="s">
        <v>77</v>
      </c>
      <c r="L119" s="13" t="s">
        <v>380</v>
      </c>
      <c r="M119" s="40">
        <v>45666</v>
      </c>
      <c r="N119" s="40">
        <f t="shared" ca="1" si="9"/>
        <v>45960</v>
      </c>
      <c r="O119" s="30">
        <f t="shared" ca="1" si="10"/>
        <v>0.80547945205479454</v>
      </c>
      <c r="P119" s="13" t="s">
        <v>36</v>
      </c>
      <c r="Q119" s="30">
        <f t="shared" ca="1" si="11"/>
        <v>0.80547945205479454</v>
      </c>
      <c r="R119" s="281" t="s">
        <v>36</v>
      </c>
    </row>
    <row r="120" spans="2:18" ht="13.5" customHeight="1" x14ac:dyDescent="0.25">
      <c r="B120" s="277">
        <v>114</v>
      </c>
      <c r="C120" s="230" t="s">
        <v>335</v>
      </c>
      <c r="D120" s="204" t="s">
        <v>554</v>
      </c>
      <c r="E120" s="16">
        <v>988890644</v>
      </c>
      <c r="F120" s="16"/>
      <c r="G120" s="16"/>
      <c r="H120" s="1" t="s">
        <v>39</v>
      </c>
      <c r="I120" s="1" t="s">
        <v>60</v>
      </c>
      <c r="J120" s="1">
        <v>334</v>
      </c>
      <c r="K120" s="17" t="s">
        <v>77</v>
      </c>
      <c r="L120" s="13" t="s">
        <v>380</v>
      </c>
      <c r="M120" s="40">
        <v>45762</v>
      </c>
      <c r="N120" s="40">
        <f t="shared" ca="1" si="9"/>
        <v>45960</v>
      </c>
      <c r="O120" s="30">
        <f t="shared" ca="1" si="10"/>
        <v>0.54246575342465753</v>
      </c>
      <c r="P120" s="13" t="s">
        <v>36</v>
      </c>
      <c r="Q120" s="30">
        <f t="shared" ca="1" si="11"/>
        <v>0.54246575342465753</v>
      </c>
      <c r="R120" s="281" t="s">
        <v>36</v>
      </c>
    </row>
    <row r="121" spans="2:18" ht="12" customHeight="1" x14ac:dyDescent="0.25">
      <c r="B121" s="277">
        <v>115</v>
      </c>
      <c r="C121" s="210" t="s">
        <v>114</v>
      </c>
      <c r="D121" s="205" t="s">
        <v>115</v>
      </c>
      <c r="E121" s="16">
        <v>985057072</v>
      </c>
      <c r="F121" s="16">
        <v>993449874</v>
      </c>
      <c r="G121" s="35" t="s">
        <v>555</v>
      </c>
      <c r="H121" s="1" t="s">
        <v>39</v>
      </c>
      <c r="I121" s="1" t="s">
        <v>60</v>
      </c>
      <c r="J121" s="1">
        <v>335</v>
      </c>
      <c r="K121" s="21" t="s">
        <v>105</v>
      </c>
      <c r="L121" s="13" t="s">
        <v>380</v>
      </c>
      <c r="M121" s="40">
        <v>45604</v>
      </c>
      <c r="N121" s="40">
        <f t="shared" ca="1" si="9"/>
        <v>45960</v>
      </c>
      <c r="O121" s="30">
        <f t="shared" ca="1" si="10"/>
        <v>0.97534246575342465</v>
      </c>
      <c r="P121" s="13" t="s">
        <v>36</v>
      </c>
      <c r="Q121" s="30">
        <f t="shared" ca="1" si="11"/>
        <v>0.97534246575342465</v>
      </c>
      <c r="R121" s="281" t="s">
        <v>36</v>
      </c>
    </row>
    <row r="122" spans="2:18" ht="12" customHeight="1" x14ac:dyDescent="0.25">
      <c r="B122" s="277">
        <v>116</v>
      </c>
      <c r="C122" s="210" t="s">
        <v>556</v>
      </c>
      <c r="D122" s="202" t="s">
        <v>557</v>
      </c>
      <c r="E122" s="16">
        <v>926155417</v>
      </c>
      <c r="F122" s="16">
        <v>955396508</v>
      </c>
      <c r="G122" s="35" t="s">
        <v>558</v>
      </c>
      <c r="H122" s="1" t="s">
        <v>39</v>
      </c>
      <c r="I122" s="1" t="s">
        <v>60</v>
      </c>
      <c r="J122" s="1">
        <v>336</v>
      </c>
      <c r="K122" s="17" t="s">
        <v>77</v>
      </c>
      <c r="L122" s="13" t="s">
        <v>380</v>
      </c>
      <c r="M122" s="40">
        <v>45653</v>
      </c>
      <c r="N122" s="40">
        <f t="shared" ca="1" si="9"/>
        <v>45960</v>
      </c>
      <c r="O122" s="30">
        <f t="shared" ca="1" si="10"/>
        <v>0.84109589041095889</v>
      </c>
      <c r="P122" s="13" t="s">
        <v>36</v>
      </c>
      <c r="Q122" s="30">
        <f t="shared" ca="1" si="11"/>
        <v>0.84109589041095889</v>
      </c>
      <c r="R122" s="281" t="s">
        <v>36</v>
      </c>
    </row>
    <row r="123" spans="2:18" ht="12" customHeight="1" x14ac:dyDescent="0.25">
      <c r="B123" s="277">
        <v>117</v>
      </c>
      <c r="C123" s="210" t="s">
        <v>195</v>
      </c>
      <c r="D123" s="205" t="s">
        <v>196</v>
      </c>
      <c r="E123" s="16">
        <v>974454282</v>
      </c>
      <c r="F123" s="16">
        <v>935330721</v>
      </c>
      <c r="G123" s="35" t="s">
        <v>559</v>
      </c>
      <c r="H123" s="1" t="s">
        <v>39</v>
      </c>
      <c r="I123" s="1" t="s">
        <v>60</v>
      </c>
      <c r="J123" s="1">
        <v>337</v>
      </c>
      <c r="K123" s="20" t="s">
        <v>82</v>
      </c>
      <c r="L123" s="13" t="s">
        <v>380</v>
      </c>
      <c r="M123" s="40">
        <v>45590</v>
      </c>
      <c r="N123" s="40">
        <f t="shared" ca="1" si="9"/>
        <v>45960</v>
      </c>
      <c r="O123" s="30">
        <f t="shared" ca="1" si="10"/>
        <v>1.0136986301369864</v>
      </c>
      <c r="P123" s="13" t="s">
        <v>36</v>
      </c>
      <c r="Q123" s="30">
        <f t="shared" ca="1" si="11"/>
        <v>1.0136986301369864</v>
      </c>
      <c r="R123" s="281" t="s">
        <v>36</v>
      </c>
    </row>
    <row r="124" spans="2:18" ht="12" customHeight="1" x14ac:dyDescent="0.25">
      <c r="B124" s="277">
        <v>118</v>
      </c>
      <c r="C124" s="210" t="s">
        <v>309</v>
      </c>
      <c r="D124" s="202" t="s">
        <v>310</v>
      </c>
      <c r="E124" s="16">
        <v>942562372</v>
      </c>
      <c r="F124" s="16">
        <v>973467215</v>
      </c>
      <c r="G124" s="35" t="s">
        <v>560</v>
      </c>
      <c r="H124" s="1" t="s">
        <v>39</v>
      </c>
      <c r="I124" s="1" t="s">
        <v>60</v>
      </c>
      <c r="J124" s="1">
        <v>338</v>
      </c>
      <c r="K124" s="18" t="s">
        <v>54</v>
      </c>
      <c r="L124" s="13" t="s">
        <v>380</v>
      </c>
      <c r="M124" s="40">
        <v>45582</v>
      </c>
      <c r="N124" s="40">
        <f t="shared" ca="1" si="9"/>
        <v>45960</v>
      </c>
      <c r="O124" s="30">
        <f t="shared" ca="1" si="10"/>
        <v>1.0356164383561643</v>
      </c>
      <c r="P124" s="13" t="s">
        <v>36</v>
      </c>
      <c r="Q124" s="30">
        <f t="shared" ca="1" si="11"/>
        <v>1.0356164383561643</v>
      </c>
      <c r="R124" s="281" t="s">
        <v>36</v>
      </c>
    </row>
    <row r="125" spans="2:18" ht="12" customHeight="1" x14ac:dyDescent="0.25">
      <c r="B125" s="277">
        <v>119</v>
      </c>
      <c r="C125" s="210" t="s">
        <v>561</v>
      </c>
      <c r="D125" s="205" t="s">
        <v>562</v>
      </c>
      <c r="E125" s="16">
        <v>985020345</v>
      </c>
      <c r="F125" s="16">
        <v>962226429</v>
      </c>
      <c r="G125" s="35" t="s">
        <v>563</v>
      </c>
      <c r="H125" s="1" t="s">
        <v>39</v>
      </c>
      <c r="I125" s="1" t="s">
        <v>60</v>
      </c>
      <c r="J125" s="1">
        <v>339</v>
      </c>
      <c r="K125" s="18" t="s">
        <v>54</v>
      </c>
      <c r="L125" s="13" t="s">
        <v>380</v>
      </c>
      <c r="M125" s="40">
        <v>45595</v>
      </c>
      <c r="N125" s="40">
        <f t="shared" ca="1" si="9"/>
        <v>45960</v>
      </c>
      <c r="O125" s="30">
        <f t="shared" ca="1" si="10"/>
        <v>1</v>
      </c>
      <c r="P125" s="13" t="s">
        <v>36</v>
      </c>
      <c r="Q125" s="30">
        <f t="shared" ca="1" si="11"/>
        <v>1</v>
      </c>
      <c r="R125" s="281" t="s">
        <v>36</v>
      </c>
    </row>
    <row r="126" spans="2:18" ht="12" customHeight="1" x14ac:dyDescent="0.25">
      <c r="B126" s="277">
        <v>120</v>
      </c>
      <c r="C126" s="210" t="s">
        <v>564</v>
      </c>
      <c r="D126" s="202" t="s">
        <v>565</v>
      </c>
      <c r="E126" s="16">
        <v>950020550</v>
      </c>
      <c r="F126" s="16"/>
      <c r="G126" s="35" t="s">
        <v>566</v>
      </c>
      <c r="H126" s="1" t="s">
        <v>39</v>
      </c>
      <c r="I126" s="1" t="s">
        <v>60</v>
      </c>
      <c r="J126" s="1">
        <v>340</v>
      </c>
      <c r="K126" s="18" t="s">
        <v>54</v>
      </c>
      <c r="L126" s="13" t="s">
        <v>380</v>
      </c>
      <c r="M126" s="40">
        <v>45582</v>
      </c>
      <c r="N126" s="40">
        <f t="shared" ca="1" si="9"/>
        <v>45960</v>
      </c>
      <c r="O126" s="30">
        <f t="shared" ca="1" si="10"/>
        <v>1.0356164383561643</v>
      </c>
      <c r="P126" s="13" t="s">
        <v>36</v>
      </c>
      <c r="Q126" s="30">
        <f t="shared" ca="1" si="11"/>
        <v>1.0356164383561643</v>
      </c>
      <c r="R126" s="281" t="s">
        <v>36</v>
      </c>
    </row>
    <row r="127" spans="2:18" ht="12" customHeight="1" x14ac:dyDescent="0.25">
      <c r="B127" s="277">
        <v>121</v>
      </c>
      <c r="C127" s="227" t="s">
        <v>281</v>
      </c>
      <c r="D127" s="204" t="s">
        <v>282</v>
      </c>
      <c r="E127" s="16">
        <v>978380234</v>
      </c>
      <c r="F127" s="16"/>
      <c r="G127" s="159" t="s">
        <v>567</v>
      </c>
      <c r="H127" s="1" t="s">
        <v>34</v>
      </c>
      <c r="I127" s="1" t="s">
        <v>97</v>
      </c>
      <c r="J127" s="1">
        <v>401</v>
      </c>
      <c r="K127" s="17" t="s">
        <v>77</v>
      </c>
      <c r="L127" s="13" t="s">
        <v>380</v>
      </c>
      <c r="M127" s="40">
        <v>45835</v>
      </c>
      <c r="N127" s="40">
        <f t="shared" ca="1" si="9"/>
        <v>45960</v>
      </c>
      <c r="O127" s="30">
        <f t="shared" ca="1" si="10"/>
        <v>0.34246575342465752</v>
      </c>
      <c r="P127" s="13" t="s">
        <v>36</v>
      </c>
      <c r="Q127" s="30">
        <f t="shared" ca="1" si="11"/>
        <v>0.34246575342465752</v>
      </c>
      <c r="R127" s="281" t="s">
        <v>36</v>
      </c>
    </row>
    <row r="128" spans="2:18" ht="12" customHeight="1" x14ac:dyDescent="0.25">
      <c r="B128" s="277">
        <v>122</v>
      </c>
      <c r="C128" s="210" t="s">
        <v>193</v>
      </c>
      <c r="D128" s="202" t="s">
        <v>194</v>
      </c>
      <c r="E128" s="16">
        <v>979777574</v>
      </c>
      <c r="F128" s="16"/>
      <c r="G128" s="35" t="s">
        <v>568</v>
      </c>
      <c r="H128" s="1" t="s">
        <v>34</v>
      </c>
      <c r="I128" s="1" t="s">
        <v>97</v>
      </c>
      <c r="J128" s="1">
        <v>402</v>
      </c>
      <c r="K128" s="21" t="s">
        <v>105</v>
      </c>
      <c r="L128" s="13" t="s">
        <v>380</v>
      </c>
      <c r="M128" s="40">
        <v>45604</v>
      </c>
      <c r="N128" s="40">
        <f t="shared" ca="1" si="9"/>
        <v>45960</v>
      </c>
      <c r="O128" s="30">
        <f t="shared" ca="1" si="10"/>
        <v>0.97534246575342465</v>
      </c>
      <c r="P128" s="13" t="s">
        <v>36</v>
      </c>
      <c r="Q128" s="30">
        <f t="shared" ca="1" si="11"/>
        <v>0.97534246575342465</v>
      </c>
      <c r="R128" s="281" t="s">
        <v>36</v>
      </c>
    </row>
    <row r="129" spans="2:18" ht="12" customHeight="1" x14ac:dyDescent="0.25">
      <c r="B129" s="277">
        <v>123</v>
      </c>
      <c r="C129" s="215" t="s">
        <v>295</v>
      </c>
      <c r="D129" s="199" t="s">
        <v>296</v>
      </c>
      <c r="E129" s="16">
        <v>949873501</v>
      </c>
      <c r="F129" s="16">
        <v>975327492</v>
      </c>
      <c r="G129" s="220" t="s">
        <v>569</v>
      </c>
      <c r="H129" s="1" t="s">
        <v>34</v>
      </c>
      <c r="I129" s="1" t="s">
        <v>97</v>
      </c>
      <c r="J129" s="1">
        <v>403</v>
      </c>
      <c r="K129" s="17" t="s">
        <v>77</v>
      </c>
      <c r="L129" s="13" t="s">
        <v>380</v>
      </c>
      <c r="M129" s="40">
        <v>45755</v>
      </c>
      <c r="N129" s="40">
        <f t="shared" ca="1" si="9"/>
        <v>45960</v>
      </c>
      <c r="O129" s="30">
        <f t="shared" ca="1" si="10"/>
        <v>0.56164383561643838</v>
      </c>
      <c r="P129" s="13" t="s">
        <v>36</v>
      </c>
      <c r="Q129" s="30">
        <f t="shared" ca="1" si="11"/>
        <v>0.56164383561643838</v>
      </c>
      <c r="R129" s="281" t="s">
        <v>36</v>
      </c>
    </row>
    <row r="130" spans="2:18" ht="12" customHeight="1" x14ac:dyDescent="0.25">
      <c r="B130" s="277">
        <v>124</v>
      </c>
      <c r="C130" s="229" t="s">
        <v>284</v>
      </c>
      <c r="D130" s="204" t="s">
        <v>570</v>
      </c>
      <c r="E130" s="16">
        <v>967034572</v>
      </c>
      <c r="F130" s="16"/>
      <c r="G130" s="220" t="s">
        <v>571</v>
      </c>
      <c r="H130" s="1" t="s">
        <v>34</v>
      </c>
      <c r="I130" s="1" t="s">
        <v>97</v>
      </c>
      <c r="J130" s="1">
        <v>404</v>
      </c>
      <c r="K130" s="17" t="s">
        <v>77</v>
      </c>
      <c r="L130" s="13" t="s">
        <v>380</v>
      </c>
      <c r="M130" s="40">
        <v>45764</v>
      </c>
      <c r="N130" s="40">
        <f t="shared" ca="1" si="9"/>
        <v>45960</v>
      </c>
      <c r="O130" s="30">
        <f t="shared" ca="1" si="10"/>
        <v>0.53698630136986303</v>
      </c>
      <c r="P130" s="13" t="s">
        <v>36</v>
      </c>
      <c r="Q130" s="30">
        <f t="shared" ca="1" si="11"/>
        <v>0.53698630136986303</v>
      </c>
      <c r="R130" s="281" t="s">
        <v>36</v>
      </c>
    </row>
    <row r="131" spans="2:18" ht="12" customHeight="1" x14ac:dyDescent="0.25">
      <c r="B131" s="277">
        <v>125</v>
      </c>
      <c r="C131" s="227" t="s">
        <v>285</v>
      </c>
      <c r="D131" s="204" t="s">
        <v>286</v>
      </c>
      <c r="E131" s="16">
        <v>999343868</v>
      </c>
      <c r="F131" s="16"/>
      <c r="G131" s="220" t="s">
        <v>572</v>
      </c>
      <c r="H131" s="1" t="s">
        <v>34</v>
      </c>
      <c r="I131" s="1" t="s">
        <v>97</v>
      </c>
      <c r="J131" s="1">
        <v>405</v>
      </c>
      <c r="K131" s="17" t="s">
        <v>77</v>
      </c>
      <c r="L131" s="13" t="s">
        <v>380</v>
      </c>
      <c r="M131" s="40">
        <v>45782</v>
      </c>
      <c r="N131" s="40">
        <f t="shared" ca="1" si="9"/>
        <v>45960</v>
      </c>
      <c r="O131" s="30">
        <f t="shared" ca="1" si="10"/>
        <v>0.48767123287671232</v>
      </c>
      <c r="P131" s="13" t="s">
        <v>36</v>
      </c>
      <c r="Q131" s="30">
        <f t="shared" ca="1" si="11"/>
        <v>0.48767123287671232</v>
      </c>
      <c r="R131" s="281" t="s">
        <v>36</v>
      </c>
    </row>
    <row r="132" spans="2:18" ht="12" customHeight="1" x14ac:dyDescent="0.25">
      <c r="B132" s="277">
        <v>126</v>
      </c>
      <c r="C132" s="210" t="s">
        <v>95</v>
      </c>
      <c r="D132" s="202" t="s">
        <v>96</v>
      </c>
      <c r="E132" s="16">
        <v>962980873</v>
      </c>
      <c r="F132" s="16"/>
      <c r="G132" s="220" t="s">
        <v>573</v>
      </c>
      <c r="H132" s="1" t="s">
        <v>34</v>
      </c>
      <c r="I132" s="1" t="s">
        <v>97</v>
      </c>
      <c r="J132" s="1">
        <v>406</v>
      </c>
      <c r="K132" s="17" t="s">
        <v>77</v>
      </c>
      <c r="L132" s="13" t="s">
        <v>380</v>
      </c>
      <c r="M132" s="40">
        <v>45604</v>
      </c>
      <c r="N132" s="40">
        <f t="shared" ca="1" si="9"/>
        <v>45960</v>
      </c>
      <c r="O132" s="30">
        <f t="shared" ca="1" si="10"/>
        <v>0.97534246575342465</v>
      </c>
      <c r="P132" s="13" t="s">
        <v>36</v>
      </c>
      <c r="Q132" s="30">
        <f t="shared" ca="1" si="11"/>
        <v>0.97534246575342465</v>
      </c>
      <c r="R132" s="281" t="s">
        <v>36</v>
      </c>
    </row>
    <row r="133" spans="2:18" ht="12" customHeight="1" x14ac:dyDescent="0.25">
      <c r="B133" s="277">
        <v>127</v>
      </c>
      <c r="C133" s="210" t="s">
        <v>253</v>
      </c>
      <c r="D133" s="202" t="s">
        <v>254</v>
      </c>
      <c r="E133" s="16">
        <v>990573476</v>
      </c>
      <c r="F133" s="16">
        <v>941382595</v>
      </c>
      <c r="G133" s="35" t="s">
        <v>574</v>
      </c>
      <c r="H133" s="1" t="s">
        <v>34</v>
      </c>
      <c r="I133" s="1" t="s">
        <v>97</v>
      </c>
      <c r="J133" s="1">
        <v>407</v>
      </c>
      <c r="K133" s="21" t="s">
        <v>105</v>
      </c>
      <c r="L133" s="268" t="s">
        <v>380</v>
      </c>
      <c r="M133" s="40">
        <v>45618</v>
      </c>
      <c r="N133" s="40">
        <f t="shared" ca="1" si="9"/>
        <v>45960</v>
      </c>
      <c r="O133" s="30">
        <f t="shared" ca="1" si="10"/>
        <v>0.93698630136986305</v>
      </c>
      <c r="P133" s="13" t="s">
        <v>36</v>
      </c>
      <c r="Q133" s="30">
        <f t="shared" ca="1" si="11"/>
        <v>0.93698630136986305</v>
      </c>
      <c r="R133" s="281" t="s">
        <v>36</v>
      </c>
    </row>
    <row r="134" spans="2:18" ht="12" customHeight="1" x14ac:dyDescent="0.25">
      <c r="B134" s="277">
        <v>128</v>
      </c>
      <c r="C134" s="216" t="s">
        <v>266</v>
      </c>
      <c r="D134" s="207" t="s">
        <v>293</v>
      </c>
      <c r="E134" s="207">
        <v>957941043</v>
      </c>
      <c r="F134" s="207" t="s">
        <v>38</v>
      </c>
      <c r="G134" s="221" t="s">
        <v>575</v>
      </c>
      <c r="H134" s="1" t="s">
        <v>34</v>
      </c>
      <c r="I134" s="1" t="s">
        <v>97</v>
      </c>
      <c r="J134" s="1">
        <v>408</v>
      </c>
      <c r="K134" s="17" t="s">
        <v>77</v>
      </c>
      <c r="L134" s="13" t="s">
        <v>380</v>
      </c>
      <c r="M134" s="40">
        <v>45740</v>
      </c>
      <c r="N134" s="40">
        <f t="shared" ca="1" si="9"/>
        <v>45960</v>
      </c>
      <c r="O134" s="30">
        <f t="shared" ca="1" si="10"/>
        <v>0.60273972602739723</v>
      </c>
      <c r="P134" s="13" t="s">
        <v>36</v>
      </c>
      <c r="Q134" s="30">
        <f t="shared" ca="1" si="11"/>
        <v>0.60273972602739723</v>
      </c>
      <c r="R134" s="281" t="s">
        <v>36</v>
      </c>
    </row>
    <row r="135" spans="2:18" ht="12" customHeight="1" x14ac:dyDescent="0.25">
      <c r="B135" s="277">
        <v>129</v>
      </c>
      <c r="C135" s="227" t="s">
        <v>576</v>
      </c>
      <c r="D135" s="204" t="s">
        <v>577</v>
      </c>
      <c r="E135" s="16">
        <v>961912954</v>
      </c>
      <c r="F135" s="16" t="s">
        <v>578</v>
      </c>
      <c r="G135" s="220" t="s">
        <v>579</v>
      </c>
      <c r="H135" s="1" t="s">
        <v>34</v>
      </c>
      <c r="I135" s="1" t="s">
        <v>65</v>
      </c>
      <c r="J135" s="1">
        <v>409</v>
      </c>
      <c r="K135" s="17" t="s">
        <v>77</v>
      </c>
      <c r="L135" s="13" t="s">
        <v>380</v>
      </c>
      <c r="M135" s="40">
        <v>45814</v>
      </c>
      <c r="N135" s="40">
        <f t="shared" ref="N135:N166" ca="1" si="12">+TODAY()</f>
        <v>45960</v>
      </c>
      <c r="O135" s="30">
        <f t="shared" ref="O135:O166" ca="1" si="13">+((N135-M135)/365)</f>
        <v>0.4</v>
      </c>
      <c r="P135" s="13" t="s">
        <v>36</v>
      </c>
      <c r="Q135" s="30">
        <f t="shared" ref="Q135:Q150" ca="1" si="14">+((N135-M135)/365)</f>
        <v>0.4</v>
      </c>
      <c r="R135" s="281" t="s">
        <v>36</v>
      </c>
    </row>
    <row r="136" spans="2:18" ht="12" customHeight="1" x14ac:dyDescent="0.25">
      <c r="B136" s="277">
        <v>130</v>
      </c>
      <c r="C136" s="210" t="s">
        <v>213</v>
      </c>
      <c r="D136" s="202" t="s">
        <v>214</v>
      </c>
      <c r="E136" s="16">
        <v>965966790</v>
      </c>
      <c r="F136" s="16">
        <v>932567833</v>
      </c>
      <c r="G136" s="35" t="s">
        <v>580</v>
      </c>
      <c r="H136" s="1" t="s">
        <v>34</v>
      </c>
      <c r="I136" s="1" t="s">
        <v>65</v>
      </c>
      <c r="J136" s="1">
        <v>410</v>
      </c>
      <c r="K136" s="20" t="s">
        <v>82</v>
      </c>
      <c r="L136" s="13" t="s">
        <v>380</v>
      </c>
      <c r="M136" s="40">
        <v>45645</v>
      </c>
      <c r="N136" s="40">
        <f t="shared" ca="1" si="12"/>
        <v>45960</v>
      </c>
      <c r="O136" s="30">
        <f t="shared" ca="1" si="13"/>
        <v>0.86301369863013699</v>
      </c>
      <c r="P136" s="13" t="s">
        <v>36</v>
      </c>
      <c r="Q136" s="30">
        <f t="shared" ca="1" si="14"/>
        <v>0.86301369863013699</v>
      </c>
      <c r="R136" s="281" t="s">
        <v>36</v>
      </c>
    </row>
    <row r="137" spans="2:18" ht="12" customHeight="1" x14ac:dyDescent="0.25">
      <c r="B137" s="277">
        <v>131</v>
      </c>
      <c r="C137" s="229" t="s">
        <v>289</v>
      </c>
      <c r="D137" s="208" t="s">
        <v>290</v>
      </c>
      <c r="E137" s="16">
        <v>972857034</v>
      </c>
      <c r="F137" s="16"/>
      <c r="G137" s="159" t="s">
        <v>581</v>
      </c>
      <c r="H137" s="1" t="s">
        <v>34</v>
      </c>
      <c r="I137" s="1" t="s">
        <v>65</v>
      </c>
      <c r="J137" s="1">
        <v>411</v>
      </c>
      <c r="K137" s="17" t="s">
        <v>77</v>
      </c>
      <c r="L137" s="117" t="s">
        <v>380</v>
      </c>
      <c r="M137" s="40">
        <v>45842</v>
      </c>
      <c r="N137" s="40">
        <f t="shared" ca="1" si="12"/>
        <v>45960</v>
      </c>
      <c r="O137" s="263">
        <f t="shared" ca="1" si="13"/>
        <v>0.32328767123287672</v>
      </c>
      <c r="P137" s="117" t="s">
        <v>36</v>
      </c>
      <c r="Q137" s="30">
        <f t="shared" ca="1" si="14"/>
        <v>0.32328767123287672</v>
      </c>
      <c r="R137" s="282" t="s">
        <v>36</v>
      </c>
    </row>
    <row r="138" spans="2:18" ht="12" customHeight="1" x14ac:dyDescent="0.25">
      <c r="B138" s="277">
        <v>132</v>
      </c>
      <c r="C138" s="227" t="s">
        <v>582</v>
      </c>
      <c r="D138" s="204" t="s">
        <v>583</v>
      </c>
      <c r="E138" s="16">
        <v>991348015</v>
      </c>
      <c r="F138" s="16">
        <v>992965939</v>
      </c>
      <c r="G138" s="269" t="s">
        <v>584</v>
      </c>
      <c r="H138" s="1" t="s">
        <v>34</v>
      </c>
      <c r="I138" s="1" t="s">
        <v>65</v>
      </c>
      <c r="J138" s="1">
        <v>412</v>
      </c>
      <c r="K138" s="17" t="s">
        <v>77</v>
      </c>
      <c r="L138" s="13" t="s">
        <v>380</v>
      </c>
      <c r="M138" s="40">
        <v>45819</v>
      </c>
      <c r="N138" s="40">
        <f t="shared" ca="1" si="12"/>
        <v>45960</v>
      </c>
      <c r="O138" s="30">
        <f t="shared" ca="1" si="13"/>
        <v>0.38630136986301372</v>
      </c>
      <c r="P138" s="13" t="s">
        <v>36</v>
      </c>
      <c r="Q138" s="30">
        <f t="shared" ca="1" si="14"/>
        <v>0.38630136986301372</v>
      </c>
      <c r="R138" s="281" t="s">
        <v>36</v>
      </c>
    </row>
    <row r="139" spans="2:18" ht="12" customHeight="1" x14ac:dyDescent="0.25">
      <c r="B139" s="277">
        <v>133</v>
      </c>
      <c r="C139" s="210" t="s">
        <v>63</v>
      </c>
      <c r="D139" s="202" t="s">
        <v>64</v>
      </c>
      <c r="E139" s="16">
        <v>997281916</v>
      </c>
      <c r="F139" s="16"/>
      <c r="G139" s="35" t="s">
        <v>585</v>
      </c>
      <c r="H139" s="1" t="s">
        <v>34</v>
      </c>
      <c r="I139" s="1" t="s">
        <v>65</v>
      </c>
      <c r="J139" s="1">
        <v>413</v>
      </c>
      <c r="K139" s="18" t="s">
        <v>54</v>
      </c>
      <c r="L139" s="13" t="s">
        <v>380</v>
      </c>
      <c r="M139" s="40">
        <v>45582</v>
      </c>
      <c r="N139" s="40">
        <f t="shared" ca="1" si="12"/>
        <v>45960</v>
      </c>
      <c r="O139" s="30">
        <f t="shared" ca="1" si="13"/>
        <v>1.0356164383561643</v>
      </c>
      <c r="P139" s="13" t="s">
        <v>36</v>
      </c>
      <c r="Q139" s="30">
        <f t="shared" ca="1" si="14"/>
        <v>1.0356164383561643</v>
      </c>
      <c r="R139" s="281" t="s">
        <v>36</v>
      </c>
    </row>
    <row r="140" spans="2:18" ht="12" customHeight="1" x14ac:dyDescent="0.25">
      <c r="B140" s="277">
        <v>134</v>
      </c>
      <c r="C140" s="210" t="s">
        <v>586</v>
      </c>
      <c r="D140" s="202" t="s">
        <v>587</v>
      </c>
      <c r="E140" s="16">
        <v>935598981</v>
      </c>
      <c r="F140" s="16">
        <v>942577109</v>
      </c>
      <c r="G140" s="35" t="s">
        <v>588</v>
      </c>
      <c r="H140" s="1" t="s">
        <v>34</v>
      </c>
      <c r="I140" s="1" t="s">
        <v>65</v>
      </c>
      <c r="J140" s="1">
        <v>414</v>
      </c>
      <c r="K140" s="18" t="s">
        <v>54</v>
      </c>
      <c r="L140" s="13" t="s">
        <v>380</v>
      </c>
      <c r="M140" s="40">
        <v>45582</v>
      </c>
      <c r="N140" s="40">
        <f t="shared" ca="1" si="12"/>
        <v>45960</v>
      </c>
      <c r="O140" s="30">
        <f t="shared" ca="1" si="13"/>
        <v>1.0356164383561643</v>
      </c>
      <c r="P140" s="13" t="s">
        <v>36</v>
      </c>
      <c r="Q140" s="30">
        <f t="shared" ca="1" si="14"/>
        <v>1.0356164383561643</v>
      </c>
      <c r="R140" s="281" t="s">
        <v>36</v>
      </c>
    </row>
    <row r="141" spans="2:18" ht="12" customHeight="1" x14ac:dyDescent="0.25">
      <c r="B141" s="277">
        <v>135</v>
      </c>
      <c r="C141" s="210" t="s">
        <v>208</v>
      </c>
      <c r="D141" s="202" t="s">
        <v>209</v>
      </c>
      <c r="E141" s="16">
        <v>939134372</v>
      </c>
      <c r="F141" s="16">
        <v>986180075</v>
      </c>
      <c r="G141" s="35" t="s">
        <v>589</v>
      </c>
      <c r="H141" s="1" t="s">
        <v>34</v>
      </c>
      <c r="I141" s="1" t="s">
        <v>65</v>
      </c>
      <c r="J141" s="1">
        <v>415</v>
      </c>
      <c r="K141" s="18" t="s">
        <v>54</v>
      </c>
      <c r="L141" s="13" t="s">
        <v>380</v>
      </c>
      <c r="M141" s="40">
        <v>45582</v>
      </c>
      <c r="N141" s="40">
        <f t="shared" ca="1" si="12"/>
        <v>45960</v>
      </c>
      <c r="O141" s="30">
        <f t="shared" ca="1" si="13"/>
        <v>1.0356164383561643</v>
      </c>
      <c r="P141" s="13" t="s">
        <v>36</v>
      </c>
      <c r="Q141" s="30">
        <f t="shared" ca="1" si="14"/>
        <v>1.0356164383561643</v>
      </c>
      <c r="R141" s="281" t="s">
        <v>36</v>
      </c>
    </row>
    <row r="142" spans="2:18" ht="12" customHeight="1" x14ac:dyDescent="0.25">
      <c r="B142" s="277">
        <v>136</v>
      </c>
      <c r="C142" s="210" t="s">
        <v>101</v>
      </c>
      <c r="D142" s="202" t="s">
        <v>102</v>
      </c>
      <c r="E142" s="16">
        <v>965830917</v>
      </c>
      <c r="F142" s="16">
        <v>998172240</v>
      </c>
      <c r="G142" s="35" t="s">
        <v>590</v>
      </c>
      <c r="H142" s="1" t="s">
        <v>34</v>
      </c>
      <c r="I142" s="1" t="s">
        <v>65</v>
      </c>
      <c r="J142" s="1">
        <v>416</v>
      </c>
      <c r="K142" s="18" t="s">
        <v>54</v>
      </c>
      <c r="L142" s="13" t="s">
        <v>380</v>
      </c>
      <c r="M142" s="40">
        <v>45582</v>
      </c>
      <c r="N142" s="40">
        <f t="shared" ca="1" si="12"/>
        <v>45960</v>
      </c>
      <c r="O142" s="30">
        <f t="shared" ca="1" si="13"/>
        <v>1.0356164383561643</v>
      </c>
      <c r="P142" s="13" t="s">
        <v>36</v>
      </c>
      <c r="Q142" s="30">
        <f t="shared" ca="1" si="14"/>
        <v>1.0356164383561643</v>
      </c>
      <c r="R142" s="281" t="s">
        <v>36</v>
      </c>
    </row>
    <row r="143" spans="2:18" ht="12" customHeight="1" x14ac:dyDescent="0.25">
      <c r="B143" s="277">
        <v>137</v>
      </c>
      <c r="C143" s="210" t="s">
        <v>274</v>
      </c>
      <c r="D143" s="205" t="s">
        <v>275</v>
      </c>
      <c r="E143" s="16">
        <v>942951964</v>
      </c>
      <c r="F143" s="16">
        <v>988391120</v>
      </c>
      <c r="G143" s="35" t="s">
        <v>591</v>
      </c>
      <c r="H143" s="1" t="s">
        <v>34</v>
      </c>
      <c r="I143" s="1" t="s">
        <v>53</v>
      </c>
      <c r="J143" s="1">
        <v>417</v>
      </c>
      <c r="K143" s="20" t="s">
        <v>82</v>
      </c>
      <c r="L143" s="13" t="s">
        <v>380</v>
      </c>
      <c r="M143" s="40">
        <v>45642</v>
      </c>
      <c r="N143" s="40">
        <f t="shared" ca="1" si="12"/>
        <v>45960</v>
      </c>
      <c r="O143" s="30">
        <f t="shared" ca="1" si="13"/>
        <v>0.87123287671232874</v>
      </c>
      <c r="P143" s="13" t="s">
        <v>36</v>
      </c>
      <c r="Q143" s="30">
        <f t="shared" ca="1" si="14"/>
        <v>0.87123287671232874</v>
      </c>
      <c r="R143" s="281" t="s">
        <v>36</v>
      </c>
    </row>
    <row r="144" spans="2:18" ht="12" customHeight="1" x14ac:dyDescent="0.25">
      <c r="B144" s="277">
        <v>138</v>
      </c>
      <c r="C144" s="210" t="s">
        <v>271</v>
      </c>
      <c r="D144" s="202" t="s">
        <v>272</v>
      </c>
      <c r="E144" s="16">
        <v>978939529</v>
      </c>
      <c r="F144" s="16">
        <v>989282223</v>
      </c>
      <c r="G144" s="35" t="s">
        <v>592</v>
      </c>
      <c r="H144" s="1" t="s">
        <v>34</v>
      </c>
      <c r="I144" s="1" t="s">
        <v>53</v>
      </c>
      <c r="J144" s="1">
        <v>418</v>
      </c>
      <c r="K144" s="18" t="s">
        <v>54</v>
      </c>
      <c r="L144" s="13" t="s">
        <v>380</v>
      </c>
      <c r="M144" s="40">
        <v>45582</v>
      </c>
      <c r="N144" s="40">
        <f t="shared" ca="1" si="12"/>
        <v>45960</v>
      </c>
      <c r="O144" s="30">
        <f t="shared" ca="1" si="13"/>
        <v>1.0356164383561643</v>
      </c>
      <c r="P144" s="13" t="s">
        <v>36</v>
      </c>
      <c r="Q144" s="30">
        <f t="shared" ca="1" si="14"/>
        <v>1.0356164383561643</v>
      </c>
      <c r="R144" s="281" t="s">
        <v>36</v>
      </c>
    </row>
    <row r="145" spans="2:18" ht="12" customHeight="1" x14ac:dyDescent="0.25">
      <c r="B145" s="277">
        <v>139</v>
      </c>
      <c r="C145" s="210" t="s">
        <v>593</v>
      </c>
      <c r="D145" s="202" t="s">
        <v>594</v>
      </c>
      <c r="E145" s="16">
        <v>966250430</v>
      </c>
      <c r="F145" s="16"/>
      <c r="G145" s="35" t="s">
        <v>595</v>
      </c>
      <c r="H145" s="1" t="s">
        <v>34</v>
      </c>
      <c r="I145" s="1" t="s">
        <v>53</v>
      </c>
      <c r="J145" s="1">
        <v>419</v>
      </c>
      <c r="K145" s="18" t="s">
        <v>54</v>
      </c>
      <c r="L145" s="13" t="s">
        <v>380</v>
      </c>
      <c r="M145" s="40">
        <v>45582</v>
      </c>
      <c r="N145" s="40">
        <f t="shared" ca="1" si="12"/>
        <v>45960</v>
      </c>
      <c r="O145" s="30">
        <f t="shared" ca="1" si="13"/>
        <v>1.0356164383561643</v>
      </c>
      <c r="P145" s="13" t="s">
        <v>36</v>
      </c>
      <c r="Q145" s="30">
        <f t="shared" ca="1" si="14"/>
        <v>1.0356164383561643</v>
      </c>
      <c r="R145" s="281" t="s">
        <v>36</v>
      </c>
    </row>
    <row r="146" spans="2:18" ht="12" customHeight="1" x14ac:dyDescent="0.25">
      <c r="B146" s="277">
        <v>140</v>
      </c>
      <c r="C146" s="210" t="s">
        <v>596</v>
      </c>
      <c r="D146" s="205" t="s">
        <v>597</v>
      </c>
      <c r="E146" s="16">
        <v>987075131</v>
      </c>
      <c r="F146" s="16"/>
      <c r="G146" s="35" t="s">
        <v>598</v>
      </c>
      <c r="H146" s="1" t="s">
        <v>34</v>
      </c>
      <c r="I146" s="1" t="s">
        <v>53</v>
      </c>
      <c r="J146" s="1">
        <v>420</v>
      </c>
      <c r="K146" s="18" t="s">
        <v>54</v>
      </c>
      <c r="L146" s="13" t="s">
        <v>380</v>
      </c>
      <c r="M146" s="40">
        <v>45582</v>
      </c>
      <c r="N146" s="40">
        <f t="shared" ca="1" si="12"/>
        <v>45960</v>
      </c>
      <c r="O146" s="30">
        <f t="shared" ca="1" si="13"/>
        <v>1.0356164383561643</v>
      </c>
      <c r="P146" s="13" t="s">
        <v>36</v>
      </c>
      <c r="Q146" s="30">
        <f t="shared" ca="1" si="14"/>
        <v>1.0356164383561643</v>
      </c>
      <c r="R146" s="281" t="s">
        <v>36</v>
      </c>
    </row>
    <row r="147" spans="2:18" ht="12" customHeight="1" x14ac:dyDescent="0.25">
      <c r="B147" s="277">
        <v>141</v>
      </c>
      <c r="C147" s="227" t="s">
        <v>363</v>
      </c>
      <c r="D147" s="204" t="s">
        <v>364</v>
      </c>
      <c r="E147" s="16">
        <v>973720248</v>
      </c>
      <c r="F147" s="16"/>
      <c r="G147" s="258" t="s">
        <v>599</v>
      </c>
      <c r="H147" s="1" t="s">
        <v>34</v>
      </c>
      <c r="I147" s="1" t="s">
        <v>53</v>
      </c>
      <c r="J147" s="1">
        <v>421</v>
      </c>
      <c r="K147" s="17" t="s">
        <v>77</v>
      </c>
      <c r="L147" s="13" t="s">
        <v>380</v>
      </c>
      <c r="M147" s="40">
        <v>45813</v>
      </c>
      <c r="N147" s="40">
        <f t="shared" ca="1" si="12"/>
        <v>45960</v>
      </c>
      <c r="O147" s="30">
        <f t="shared" ca="1" si="13"/>
        <v>0.40273972602739727</v>
      </c>
      <c r="P147" s="13" t="s">
        <v>36</v>
      </c>
      <c r="Q147" s="30">
        <f t="shared" ca="1" si="14"/>
        <v>0.40273972602739727</v>
      </c>
      <c r="R147" s="281" t="s">
        <v>36</v>
      </c>
    </row>
    <row r="148" spans="2:18" ht="12" customHeight="1" x14ac:dyDescent="0.3">
      <c r="B148" s="277">
        <v>142</v>
      </c>
      <c r="C148" s="241" t="s">
        <v>326</v>
      </c>
      <c r="D148" s="246" t="s">
        <v>327</v>
      </c>
      <c r="E148" s="16">
        <v>930637437</v>
      </c>
      <c r="F148" s="16"/>
      <c r="G148" s="242" t="s">
        <v>600</v>
      </c>
      <c r="H148" s="1" t="s">
        <v>34</v>
      </c>
      <c r="I148" s="1" t="s">
        <v>53</v>
      </c>
      <c r="J148" s="1">
        <v>422</v>
      </c>
      <c r="K148" s="17" t="s">
        <v>77</v>
      </c>
      <c r="L148" s="13" t="s">
        <v>380</v>
      </c>
      <c r="M148" s="40">
        <v>45909</v>
      </c>
      <c r="N148" s="40">
        <f t="shared" ca="1" si="12"/>
        <v>45960</v>
      </c>
      <c r="O148" s="30">
        <f t="shared" ca="1" si="13"/>
        <v>0.13972602739726028</v>
      </c>
      <c r="P148" s="13" t="s">
        <v>36</v>
      </c>
      <c r="Q148" s="30">
        <f t="shared" ca="1" si="14"/>
        <v>0.13972602739726028</v>
      </c>
      <c r="R148" s="281" t="s">
        <v>36</v>
      </c>
    </row>
    <row r="149" spans="2:18" ht="12" customHeight="1" x14ac:dyDescent="0.25">
      <c r="B149" s="277">
        <v>143</v>
      </c>
      <c r="C149" s="210" t="s">
        <v>188</v>
      </c>
      <c r="D149" s="202" t="s">
        <v>189</v>
      </c>
      <c r="E149" s="16">
        <v>987818395</v>
      </c>
      <c r="F149" s="16">
        <v>919927661</v>
      </c>
      <c r="G149" s="35" t="s">
        <v>601</v>
      </c>
      <c r="H149" s="1" t="s">
        <v>34</v>
      </c>
      <c r="I149" s="1" t="s">
        <v>53</v>
      </c>
      <c r="J149" s="1">
        <v>423</v>
      </c>
      <c r="K149" s="18" t="s">
        <v>54</v>
      </c>
      <c r="L149" s="13" t="s">
        <v>380</v>
      </c>
      <c r="M149" s="40">
        <v>45582</v>
      </c>
      <c r="N149" s="40">
        <f t="shared" ca="1" si="12"/>
        <v>45960</v>
      </c>
      <c r="O149" s="30">
        <f t="shared" ca="1" si="13"/>
        <v>1.0356164383561643</v>
      </c>
      <c r="P149" s="13" t="s">
        <v>36</v>
      </c>
      <c r="Q149" s="30">
        <f t="shared" ca="1" si="14"/>
        <v>1.0356164383561643</v>
      </c>
      <c r="R149" s="281" t="s">
        <v>36</v>
      </c>
    </row>
    <row r="150" spans="2:18" ht="12" customHeight="1" x14ac:dyDescent="0.25">
      <c r="B150" s="277">
        <v>144</v>
      </c>
      <c r="C150" s="227" t="s">
        <v>305</v>
      </c>
      <c r="D150" s="204" t="s">
        <v>306</v>
      </c>
      <c r="E150" s="16">
        <v>958930444</v>
      </c>
      <c r="F150" s="16"/>
      <c r="G150" s="159" t="s">
        <v>602</v>
      </c>
      <c r="H150" s="1" t="s">
        <v>34</v>
      </c>
      <c r="I150" s="1" t="s">
        <v>53</v>
      </c>
      <c r="J150" s="1">
        <v>424</v>
      </c>
      <c r="K150" s="17" t="s">
        <v>77</v>
      </c>
      <c r="L150" s="13" t="s">
        <v>380</v>
      </c>
      <c r="M150" s="40">
        <v>45856</v>
      </c>
      <c r="N150" s="40">
        <f t="shared" ca="1" si="12"/>
        <v>45960</v>
      </c>
      <c r="O150" s="30">
        <f t="shared" ca="1" si="13"/>
        <v>0.28493150684931506</v>
      </c>
      <c r="P150" s="13" t="s">
        <v>36</v>
      </c>
      <c r="Q150" s="30">
        <f t="shared" ca="1" si="14"/>
        <v>0.28493150684931506</v>
      </c>
      <c r="R150" s="281" t="s">
        <v>36</v>
      </c>
    </row>
    <row r="151" spans="2:18" ht="12" customHeight="1" x14ac:dyDescent="0.25">
      <c r="B151" s="277">
        <v>145</v>
      </c>
      <c r="C151" s="227"/>
      <c r="D151" s="204"/>
      <c r="E151" s="16"/>
      <c r="F151" s="16"/>
      <c r="G151" s="16"/>
      <c r="H151" s="1" t="s">
        <v>39</v>
      </c>
      <c r="I151" s="1" t="s">
        <v>57</v>
      </c>
      <c r="J151" s="1">
        <v>425</v>
      </c>
      <c r="K151" s="17" t="s">
        <v>77</v>
      </c>
      <c r="L151" s="13" t="s">
        <v>2</v>
      </c>
      <c r="M151" s="13"/>
      <c r="N151" s="40">
        <f t="shared" ca="1" si="12"/>
        <v>45960</v>
      </c>
      <c r="O151" s="30"/>
      <c r="P151" s="252"/>
      <c r="Q151" s="30"/>
      <c r="R151" s="284"/>
    </row>
    <row r="152" spans="2:18" ht="12" customHeight="1" x14ac:dyDescent="0.25">
      <c r="B152" s="277">
        <v>146</v>
      </c>
      <c r="C152" s="227" t="s">
        <v>603</v>
      </c>
      <c r="D152" s="204" t="s">
        <v>604</v>
      </c>
      <c r="E152" s="16">
        <v>930111221</v>
      </c>
      <c r="F152" s="16"/>
      <c r="G152" s="159" t="s">
        <v>605</v>
      </c>
      <c r="H152" s="1" t="s">
        <v>39</v>
      </c>
      <c r="I152" s="1" t="s">
        <v>57</v>
      </c>
      <c r="J152" s="1">
        <v>426</v>
      </c>
      <c r="K152" s="17" t="s">
        <v>77</v>
      </c>
      <c r="L152" s="13" t="s">
        <v>380</v>
      </c>
      <c r="M152" s="40">
        <v>45860</v>
      </c>
      <c r="N152" s="40">
        <f t="shared" ca="1" si="12"/>
        <v>45960</v>
      </c>
      <c r="O152" s="30">
        <f t="shared" ref="O152:O190" ca="1" si="15">+((N152-M152)/365)</f>
        <v>0.27397260273972601</v>
      </c>
      <c r="P152" s="13" t="s">
        <v>36</v>
      </c>
      <c r="Q152" s="30">
        <f t="shared" ref="Q152:Q190" ca="1" si="16">+((N152-M152)/365)</f>
        <v>0.27397260273972601</v>
      </c>
      <c r="R152" s="281" t="s">
        <v>36</v>
      </c>
    </row>
    <row r="153" spans="2:18" ht="12" customHeight="1" x14ac:dyDescent="0.25">
      <c r="B153" s="277">
        <v>147</v>
      </c>
      <c r="C153" s="210" t="s">
        <v>150</v>
      </c>
      <c r="D153" s="205" t="s">
        <v>151</v>
      </c>
      <c r="E153" s="16">
        <v>968396476</v>
      </c>
      <c r="F153" s="16">
        <v>994884445</v>
      </c>
      <c r="G153" s="220" t="s">
        <v>606</v>
      </c>
      <c r="H153" s="1" t="s">
        <v>39</v>
      </c>
      <c r="I153" s="1" t="s">
        <v>57</v>
      </c>
      <c r="J153" s="1">
        <v>427</v>
      </c>
      <c r="K153" s="21" t="s">
        <v>105</v>
      </c>
      <c r="L153" s="13" t="s">
        <v>380</v>
      </c>
      <c r="M153" s="40">
        <v>45595</v>
      </c>
      <c r="N153" s="40">
        <f t="shared" ca="1" si="12"/>
        <v>45960</v>
      </c>
      <c r="O153" s="30">
        <f t="shared" ca="1" si="15"/>
        <v>1</v>
      </c>
      <c r="P153" s="13" t="s">
        <v>36</v>
      </c>
      <c r="Q153" s="30">
        <f t="shared" ca="1" si="16"/>
        <v>1</v>
      </c>
      <c r="R153" s="281" t="s">
        <v>36</v>
      </c>
    </row>
    <row r="154" spans="2:18" ht="12" customHeight="1" x14ac:dyDescent="0.25">
      <c r="B154" s="277">
        <v>148</v>
      </c>
      <c r="C154" s="228" t="s">
        <v>607</v>
      </c>
      <c r="D154" s="203" t="s">
        <v>608</v>
      </c>
      <c r="E154" s="16">
        <v>951886051</v>
      </c>
      <c r="F154" s="16"/>
      <c r="G154" s="220" t="s">
        <v>609</v>
      </c>
      <c r="H154" s="1" t="s">
        <v>39</v>
      </c>
      <c r="I154" s="1" t="s">
        <v>57</v>
      </c>
      <c r="J154" s="1">
        <v>428</v>
      </c>
      <c r="K154" s="17" t="s">
        <v>77</v>
      </c>
      <c r="L154" s="13" t="s">
        <v>380</v>
      </c>
      <c r="M154" s="40">
        <v>45826</v>
      </c>
      <c r="N154" s="40">
        <f t="shared" ca="1" si="12"/>
        <v>45960</v>
      </c>
      <c r="O154" s="30">
        <f t="shared" ca="1" si="15"/>
        <v>0.36712328767123287</v>
      </c>
      <c r="P154" s="13" t="s">
        <v>36</v>
      </c>
      <c r="Q154" s="30">
        <f t="shared" ca="1" si="16"/>
        <v>0.36712328767123287</v>
      </c>
      <c r="R154" s="281" t="s">
        <v>36</v>
      </c>
    </row>
    <row r="155" spans="2:18" ht="12" customHeight="1" x14ac:dyDescent="0.25">
      <c r="B155" s="277">
        <v>149</v>
      </c>
      <c r="C155" s="210" t="s">
        <v>100</v>
      </c>
      <c r="D155" s="205" t="s">
        <v>610</v>
      </c>
      <c r="E155" s="16">
        <v>945738315</v>
      </c>
      <c r="F155" s="16">
        <v>955186820</v>
      </c>
      <c r="G155" s="35" t="s">
        <v>611</v>
      </c>
      <c r="H155" s="1" t="s">
        <v>39</v>
      </c>
      <c r="I155" s="1" t="s">
        <v>57</v>
      </c>
      <c r="J155" s="1">
        <v>429</v>
      </c>
      <c r="K155" s="20" t="s">
        <v>82</v>
      </c>
      <c r="L155" s="13" t="s">
        <v>380</v>
      </c>
      <c r="M155" s="40">
        <v>45611</v>
      </c>
      <c r="N155" s="40">
        <f t="shared" ca="1" si="12"/>
        <v>45960</v>
      </c>
      <c r="O155" s="30">
        <f t="shared" ca="1" si="15"/>
        <v>0.95616438356164379</v>
      </c>
      <c r="P155" s="13" t="s">
        <v>36</v>
      </c>
      <c r="Q155" s="30">
        <f t="shared" ca="1" si="16"/>
        <v>0.95616438356164379</v>
      </c>
      <c r="R155" s="281" t="s">
        <v>36</v>
      </c>
    </row>
    <row r="156" spans="2:18" ht="12" customHeight="1" x14ac:dyDescent="0.25">
      <c r="B156" s="277">
        <v>150</v>
      </c>
      <c r="C156" s="210" t="s">
        <v>55</v>
      </c>
      <c r="D156" s="202" t="s">
        <v>56</v>
      </c>
      <c r="E156" s="16">
        <v>991297727</v>
      </c>
      <c r="F156" s="16">
        <v>945599831</v>
      </c>
      <c r="G156" s="35" t="s">
        <v>612</v>
      </c>
      <c r="H156" s="1" t="s">
        <v>39</v>
      </c>
      <c r="I156" s="1" t="s">
        <v>57</v>
      </c>
      <c r="J156" s="1">
        <v>430</v>
      </c>
      <c r="K156" s="18" t="s">
        <v>54</v>
      </c>
      <c r="L156" s="13" t="s">
        <v>380</v>
      </c>
      <c r="M156" s="40">
        <v>45582</v>
      </c>
      <c r="N156" s="40">
        <f t="shared" ca="1" si="12"/>
        <v>45960</v>
      </c>
      <c r="O156" s="30">
        <f t="shared" ca="1" si="15"/>
        <v>1.0356164383561643</v>
      </c>
      <c r="P156" s="13" t="s">
        <v>36</v>
      </c>
      <c r="Q156" s="30">
        <f t="shared" ca="1" si="16"/>
        <v>1.0356164383561643</v>
      </c>
      <c r="R156" s="281" t="s">
        <v>36</v>
      </c>
    </row>
    <row r="157" spans="2:18" ht="12" customHeight="1" x14ac:dyDescent="0.25">
      <c r="B157" s="277">
        <v>151</v>
      </c>
      <c r="C157" s="210" t="s">
        <v>613</v>
      </c>
      <c r="D157" s="202" t="s">
        <v>614</v>
      </c>
      <c r="E157" s="16">
        <v>954686645</v>
      </c>
      <c r="F157" s="16"/>
      <c r="G157" s="35" t="s">
        <v>615</v>
      </c>
      <c r="H157" s="1" t="s">
        <v>39</v>
      </c>
      <c r="I157" s="1" t="s">
        <v>57</v>
      </c>
      <c r="J157" s="1">
        <v>431</v>
      </c>
      <c r="K157" s="18" t="s">
        <v>54</v>
      </c>
      <c r="L157" s="13" t="s">
        <v>380</v>
      </c>
      <c r="M157" s="40">
        <v>45582</v>
      </c>
      <c r="N157" s="40">
        <f t="shared" ca="1" si="12"/>
        <v>45960</v>
      </c>
      <c r="O157" s="30">
        <f t="shared" ca="1" si="15"/>
        <v>1.0356164383561643</v>
      </c>
      <c r="P157" s="13" t="s">
        <v>36</v>
      </c>
      <c r="Q157" s="30">
        <f t="shared" ca="1" si="16"/>
        <v>1.0356164383561643</v>
      </c>
      <c r="R157" s="281" t="s">
        <v>36</v>
      </c>
    </row>
    <row r="158" spans="2:18" ht="12" customHeight="1" x14ac:dyDescent="0.25">
      <c r="B158" s="277">
        <v>152</v>
      </c>
      <c r="C158" s="210" t="s">
        <v>130</v>
      </c>
      <c r="D158" s="202" t="s">
        <v>131</v>
      </c>
      <c r="E158" s="16">
        <v>937215137</v>
      </c>
      <c r="F158" s="16"/>
      <c r="G158" s="35" t="s">
        <v>616</v>
      </c>
      <c r="H158" s="1" t="s">
        <v>39</v>
      </c>
      <c r="I158" s="1" t="s">
        <v>57</v>
      </c>
      <c r="J158" s="1">
        <v>432</v>
      </c>
      <c r="K158" s="18" t="s">
        <v>54</v>
      </c>
      <c r="L158" s="13" t="s">
        <v>380</v>
      </c>
      <c r="M158" s="40">
        <v>45582</v>
      </c>
      <c r="N158" s="40">
        <f t="shared" ca="1" si="12"/>
        <v>45960</v>
      </c>
      <c r="O158" s="30">
        <f t="shared" ca="1" si="15"/>
        <v>1.0356164383561643</v>
      </c>
      <c r="P158" s="13" t="s">
        <v>36</v>
      </c>
      <c r="Q158" s="30">
        <f t="shared" ca="1" si="16"/>
        <v>1.0356164383561643</v>
      </c>
      <c r="R158" s="281" t="s">
        <v>36</v>
      </c>
    </row>
    <row r="159" spans="2:18" ht="12" customHeight="1" x14ac:dyDescent="0.25">
      <c r="B159" s="277">
        <v>153</v>
      </c>
      <c r="C159" s="210" t="s">
        <v>221</v>
      </c>
      <c r="D159" s="202" t="s">
        <v>222</v>
      </c>
      <c r="E159" s="16">
        <v>957897978</v>
      </c>
      <c r="F159" s="16">
        <v>930305300</v>
      </c>
      <c r="G159" s="35" t="s">
        <v>617</v>
      </c>
      <c r="H159" s="1" t="s">
        <v>39</v>
      </c>
      <c r="I159" s="1" t="s">
        <v>60</v>
      </c>
      <c r="J159" s="1">
        <v>433</v>
      </c>
      <c r="K159" s="17" t="s">
        <v>77</v>
      </c>
      <c r="L159" s="267" t="s">
        <v>380</v>
      </c>
      <c r="M159" s="40">
        <v>45670</v>
      </c>
      <c r="N159" s="40">
        <f t="shared" ca="1" si="12"/>
        <v>45960</v>
      </c>
      <c r="O159" s="30">
        <f t="shared" ca="1" si="15"/>
        <v>0.79452054794520544</v>
      </c>
      <c r="P159" s="13" t="s">
        <v>36</v>
      </c>
      <c r="Q159" s="30">
        <f t="shared" ca="1" si="16"/>
        <v>0.79452054794520544</v>
      </c>
      <c r="R159" s="281" t="s">
        <v>36</v>
      </c>
    </row>
    <row r="160" spans="2:18" ht="12" customHeight="1" x14ac:dyDescent="0.25">
      <c r="B160" s="277">
        <v>154</v>
      </c>
      <c r="C160" s="210" t="s">
        <v>134</v>
      </c>
      <c r="D160" s="205" t="s">
        <v>135</v>
      </c>
      <c r="E160" s="218">
        <v>951668488</v>
      </c>
      <c r="F160" s="16"/>
      <c r="G160" s="35" t="s">
        <v>618</v>
      </c>
      <c r="H160" s="1" t="s">
        <v>39</v>
      </c>
      <c r="I160" s="1" t="s">
        <v>60</v>
      </c>
      <c r="J160" s="1">
        <v>434</v>
      </c>
      <c r="K160" s="17" t="s">
        <v>77</v>
      </c>
      <c r="L160" s="13" t="s">
        <v>380</v>
      </c>
      <c r="M160" s="40">
        <v>45625</v>
      </c>
      <c r="N160" s="40">
        <f t="shared" ca="1" si="12"/>
        <v>45960</v>
      </c>
      <c r="O160" s="30">
        <f t="shared" ca="1" si="15"/>
        <v>0.9178082191780822</v>
      </c>
      <c r="P160" s="13" t="s">
        <v>36</v>
      </c>
      <c r="Q160" s="30">
        <f t="shared" ca="1" si="16"/>
        <v>0.9178082191780822</v>
      </c>
      <c r="R160" s="281" t="s">
        <v>36</v>
      </c>
    </row>
    <row r="161" spans="2:18" ht="12" customHeight="1" x14ac:dyDescent="0.25">
      <c r="B161" s="277">
        <v>155</v>
      </c>
      <c r="C161" s="210" t="s">
        <v>178</v>
      </c>
      <c r="D161" s="202" t="s">
        <v>179</v>
      </c>
      <c r="E161" s="16" t="s">
        <v>276</v>
      </c>
      <c r="F161" s="16"/>
      <c r="G161" s="35" t="s">
        <v>619</v>
      </c>
      <c r="H161" s="1" t="s">
        <v>39</v>
      </c>
      <c r="I161" s="1" t="s">
        <v>60</v>
      </c>
      <c r="J161" s="1">
        <v>435</v>
      </c>
      <c r="K161" s="21" t="s">
        <v>105</v>
      </c>
      <c r="L161" s="13" t="s">
        <v>380</v>
      </c>
      <c r="M161" s="40">
        <v>45595</v>
      </c>
      <c r="N161" s="40">
        <f t="shared" ca="1" si="12"/>
        <v>45960</v>
      </c>
      <c r="O161" s="30">
        <f t="shared" ca="1" si="15"/>
        <v>1</v>
      </c>
      <c r="P161" s="13" t="s">
        <v>36</v>
      </c>
      <c r="Q161" s="30">
        <f t="shared" ca="1" si="16"/>
        <v>1</v>
      </c>
      <c r="R161" s="281" t="s">
        <v>36</v>
      </c>
    </row>
    <row r="162" spans="2:18" ht="12" customHeight="1" x14ac:dyDescent="0.25">
      <c r="B162" s="277">
        <v>156</v>
      </c>
      <c r="C162" s="210" t="s">
        <v>311</v>
      </c>
      <c r="D162" s="202" t="s">
        <v>312</v>
      </c>
      <c r="E162" s="16">
        <v>990623976</v>
      </c>
      <c r="F162" s="16"/>
      <c r="G162" s="258" t="s">
        <v>620</v>
      </c>
      <c r="H162" s="1" t="s">
        <v>39</v>
      </c>
      <c r="I162" s="1" t="s">
        <v>60</v>
      </c>
      <c r="J162" s="1">
        <v>436</v>
      </c>
      <c r="K162" s="17" t="s">
        <v>77</v>
      </c>
      <c r="L162" s="13" t="s">
        <v>380</v>
      </c>
      <c r="M162" s="40">
        <v>45625</v>
      </c>
      <c r="N162" s="40">
        <f t="shared" ca="1" si="12"/>
        <v>45960</v>
      </c>
      <c r="O162" s="30">
        <f t="shared" ca="1" si="15"/>
        <v>0.9178082191780822</v>
      </c>
      <c r="P162" s="13" t="s">
        <v>36</v>
      </c>
      <c r="Q162" s="30">
        <f t="shared" ca="1" si="16"/>
        <v>0.9178082191780822</v>
      </c>
      <c r="R162" s="281" t="s">
        <v>36</v>
      </c>
    </row>
    <row r="163" spans="2:18" ht="12" customHeight="1" x14ac:dyDescent="0.25">
      <c r="B163" s="277">
        <v>157</v>
      </c>
      <c r="C163" s="210" t="s">
        <v>148</v>
      </c>
      <c r="D163" s="205" t="s">
        <v>149</v>
      </c>
      <c r="E163" s="16">
        <v>975243410</v>
      </c>
      <c r="F163" s="16"/>
      <c r="G163" s="35" t="s">
        <v>621</v>
      </c>
      <c r="H163" s="1" t="s">
        <v>39</v>
      </c>
      <c r="I163" s="1" t="s">
        <v>60</v>
      </c>
      <c r="J163" s="1">
        <v>437</v>
      </c>
      <c r="K163" s="20" t="s">
        <v>82</v>
      </c>
      <c r="L163" s="13" t="s">
        <v>380</v>
      </c>
      <c r="M163" s="40">
        <v>45594</v>
      </c>
      <c r="N163" s="40">
        <f t="shared" ca="1" si="12"/>
        <v>45960</v>
      </c>
      <c r="O163" s="30">
        <f t="shared" ca="1" si="15"/>
        <v>1.0027397260273974</v>
      </c>
      <c r="P163" s="13" t="s">
        <v>36</v>
      </c>
      <c r="Q163" s="30">
        <f t="shared" ca="1" si="16"/>
        <v>1.0027397260273974</v>
      </c>
      <c r="R163" s="281" t="s">
        <v>36</v>
      </c>
    </row>
    <row r="164" spans="2:18" ht="12" customHeight="1" x14ac:dyDescent="0.25">
      <c r="B164" s="277">
        <v>158</v>
      </c>
      <c r="C164" s="210" t="s">
        <v>85</v>
      </c>
      <c r="D164" s="202" t="s">
        <v>86</v>
      </c>
      <c r="E164" s="16">
        <v>977683336</v>
      </c>
      <c r="F164" s="16">
        <v>995408234</v>
      </c>
      <c r="G164" s="220" t="s">
        <v>622</v>
      </c>
      <c r="H164" s="1" t="s">
        <v>39</v>
      </c>
      <c r="I164" s="1" t="s">
        <v>60</v>
      </c>
      <c r="J164" s="1">
        <v>438</v>
      </c>
      <c r="K164" s="18" t="s">
        <v>54</v>
      </c>
      <c r="L164" s="13" t="s">
        <v>380</v>
      </c>
      <c r="M164" s="40">
        <v>45582</v>
      </c>
      <c r="N164" s="40">
        <f t="shared" ca="1" si="12"/>
        <v>45960</v>
      </c>
      <c r="O164" s="30">
        <f t="shared" ca="1" si="15"/>
        <v>1.0356164383561643</v>
      </c>
      <c r="P164" s="13" t="s">
        <v>36</v>
      </c>
      <c r="Q164" s="30">
        <f t="shared" ca="1" si="16"/>
        <v>1.0356164383561643</v>
      </c>
      <c r="R164" s="281" t="s">
        <v>36</v>
      </c>
    </row>
    <row r="165" spans="2:18" ht="12" customHeight="1" x14ac:dyDescent="0.25">
      <c r="B165" s="277">
        <v>159</v>
      </c>
      <c r="C165" s="210" t="s">
        <v>58</v>
      </c>
      <c r="D165" s="202" t="s">
        <v>59</v>
      </c>
      <c r="E165" s="16">
        <v>988939089</v>
      </c>
      <c r="F165" s="16"/>
      <c r="G165" s="35" t="s">
        <v>623</v>
      </c>
      <c r="H165" s="1" t="s">
        <v>39</v>
      </c>
      <c r="I165" s="1" t="s">
        <v>60</v>
      </c>
      <c r="J165" s="1">
        <v>439</v>
      </c>
      <c r="K165" s="18" t="s">
        <v>54</v>
      </c>
      <c r="L165" s="13" t="s">
        <v>380</v>
      </c>
      <c r="M165" s="40">
        <v>45582</v>
      </c>
      <c r="N165" s="40">
        <f t="shared" ca="1" si="12"/>
        <v>45960</v>
      </c>
      <c r="O165" s="30">
        <f t="shared" ca="1" si="15"/>
        <v>1.0356164383561643</v>
      </c>
      <c r="P165" s="13" t="s">
        <v>36</v>
      </c>
      <c r="Q165" s="30">
        <f t="shared" ca="1" si="16"/>
        <v>1.0356164383561643</v>
      </c>
      <c r="R165" s="281" t="s">
        <v>36</v>
      </c>
    </row>
    <row r="166" spans="2:18" ht="12" customHeight="1" x14ac:dyDescent="0.25">
      <c r="B166" s="277">
        <v>160</v>
      </c>
      <c r="C166" s="210" t="s">
        <v>128</v>
      </c>
      <c r="D166" s="202" t="s">
        <v>129</v>
      </c>
      <c r="E166" s="16">
        <v>942109523</v>
      </c>
      <c r="F166" s="16"/>
      <c r="G166" s="35" t="s">
        <v>624</v>
      </c>
      <c r="H166" s="1" t="s">
        <v>39</v>
      </c>
      <c r="I166" s="1" t="s">
        <v>60</v>
      </c>
      <c r="J166" s="1">
        <v>440</v>
      </c>
      <c r="K166" s="18" t="s">
        <v>54</v>
      </c>
      <c r="L166" s="13" t="s">
        <v>380</v>
      </c>
      <c r="M166" s="40">
        <v>45582</v>
      </c>
      <c r="N166" s="40">
        <f t="shared" ca="1" si="12"/>
        <v>45960</v>
      </c>
      <c r="O166" s="30">
        <f t="shared" ca="1" si="15"/>
        <v>1.0356164383561643</v>
      </c>
      <c r="P166" s="13" t="s">
        <v>36</v>
      </c>
      <c r="Q166" s="30">
        <f t="shared" ca="1" si="16"/>
        <v>1.0356164383561643</v>
      </c>
      <c r="R166" s="281" t="s">
        <v>36</v>
      </c>
    </row>
    <row r="167" spans="2:18" ht="12" customHeight="1" x14ac:dyDescent="0.25">
      <c r="B167" s="277">
        <v>161</v>
      </c>
      <c r="C167" s="227" t="s">
        <v>313</v>
      </c>
      <c r="D167" s="204" t="s">
        <v>314</v>
      </c>
      <c r="E167" s="41">
        <v>994020362</v>
      </c>
      <c r="F167" s="41"/>
      <c r="G167" s="220" t="s">
        <v>625</v>
      </c>
      <c r="H167" s="1" t="s">
        <v>34</v>
      </c>
      <c r="I167" s="1" t="s">
        <v>97</v>
      </c>
      <c r="J167" s="1">
        <v>501</v>
      </c>
      <c r="K167" s="17" t="s">
        <v>77</v>
      </c>
      <c r="L167" s="13" t="s">
        <v>380</v>
      </c>
      <c r="M167" s="40">
        <v>45772</v>
      </c>
      <c r="N167" s="40">
        <f t="shared" ref="N167:N198" ca="1" si="17">+TODAY()</f>
        <v>45960</v>
      </c>
      <c r="O167" s="30">
        <f t="shared" ca="1" si="15"/>
        <v>0.51506849315068493</v>
      </c>
      <c r="P167" s="13" t="s">
        <v>36</v>
      </c>
      <c r="Q167" s="30">
        <f t="shared" ca="1" si="16"/>
        <v>0.51506849315068493</v>
      </c>
      <c r="R167" s="281" t="s">
        <v>36</v>
      </c>
    </row>
    <row r="168" spans="2:18" ht="12" customHeight="1" x14ac:dyDescent="0.25">
      <c r="B168" s="277">
        <v>162</v>
      </c>
      <c r="C168" s="289" t="s">
        <v>240</v>
      </c>
      <c r="D168" s="290" t="s">
        <v>241</v>
      </c>
      <c r="E168" s="36">
        <v>99499955</v>
      </c>
      <c r="F168" s="36"/>
      <c r="G168" s="219" t="s">
        <v>626</v>
      </c>
      <c r="H168" s="1" t="s">
        <v>34</v>
      </c>
      <c r="I168" s="1" t="s">
        <v>97</v>
      </c>
      <c r="J168" s="1">
        <v>502</v>
      </c>
      <c r="K168" s="21" t="s">
        <v>105</v>
      </c>
      <c r="L168" s="13" t="s">
        <v>380</v>
      </c>
      <c r="M168" s="40">
        <v>45632</v>
      </c>
      <c r="N168" s="40">
        <f t="shared" ca="1" si="17"/>
        <v>45960</v>
      </c>
      <c r="O168" s="30">
        <f t="shared" ca="1" si="15"/>
        <v>0.89863013698630134</v>
      </c>
      <c r="P168" s="13" t="s">
        <v>36</v>
      </c>
      <c r="Q168" s="30">
        <f t="shared" ca="1" si="16"/>
        <v>0.89863013698630134</v>
      </c>
      <c r="R168" s="281" t="s">
        <v>36</v>
      </c>
    </row>
    <row r="169" spans="2:18" ht="12" customHeight="1" x14ac:dyDescent="0.25">
      <c r="B169" s="287">
        <v>163</v>
      </c>
      <c r="C169" s="227" t="s">
        <v>627</v>
      </c>
      <c r="D169" s="204" t="s">
        <v>628</v>
      </c>
      <c r="E169" s="16">
        <v>990936565</v>
      </c>
      <c r="F169" s="16"/>
      <c r="G169" s="159" t="s">
        <v>629</v>
      </c>
      <c r="H169" s="288" t="s">
        <v>34</v>
      </c>
      <c r="I169" s="1" t="s">
        <v>97</v>
      </c>
      <c r="J169" s="1">
        <v>503</v>
      </c>
      <c r="K169" s="17" t="s">
        <v>77</v>
      </c>
      <c r="L169" s="13" t="s">
        <v>380</v>
      </c>
      <c r="M169" s="40">
        <v>45849</v>
      </c>
      <c r="N169" s="40">
        <f t="shared" ca="1" si="17"/>
        <v>45960</v>
      </c>
      <c r="O169" s="30">
        <f t="shared" ca="1" si="15"/>
        <v>0.30410958904109592</v>
      </c>
      <c r="P169" s="13" t="s">
        <v>36</v>
      </c>
      <c r="Q169" s="30">
        <f t="shared" ca="1" si="16"/>
        <v>0.30410958904109592</v>
      </c>
      <c r="R169" s="281" t="s">
        <v>36</v>
      </c>
    </row>
    <row r="170" spans="2:18" ht="12" customHeight="1" x14ac:dyDescent="0.3">
      <c r="B170" s="287">
        <v>164</v>
      </c>
      <c r="C170" s="301" t="s">
        <v>333</v>
      </c>
      <c r="D170" s="301" t="s">
        <v>334</v>
      </c>
      <c r="E170" s="36">
        <v>986228953</v>
      </c>
      <c r="F170" s="36"/>
      <c r="G170" s="312" t="s">
        <v>630</v>
      </c>
      <c r="H170" s="288" t="s">
        <v>34</v>
      </c>
      <c r="I170" s="1" t="s">
        <v>97</v>
      </c>
      <c r="J170" s="1">
        <v>504</v>
      </c>
      <c r="K170" s="17" t="s">
        <v>77</v>
      </c>
      <c r="L170" s="13" t="s">
        <v>380</v>
      </c>
      <c r="M170" s="40">
        <v>45926</v>
      </c>
      <c r="N170" s="40">
        <f t="shared" ca="1" si="17"/>
        <v>45960</v>
      </c>
      <c r="O170" s="30">
        <f t="shared" ca="1" si="15"/>
        <v>9.3150684931506855E-2</v>
      </c>
      <c r="P170" s="13" t="s">
        <v>36</v>
      </c>
      <c r="Q170" s="30">
        <f t="shared" ca="1" si="16"/>
        <v>9.3150684931506855E-2</v>
      </c>
      <c r="R170" s="281" t="s">
        <v>36</v>
      </c>
    </row>
    <row r="171" spans="2:18" ht="12" customHeight="1" x14ac:dyDescent="0.3">
      <c r="B171" s="287">
        <v>165</v>
      </c>
      <c r="C171" s="241" t="s">
        <v>631</v>
      </c>
      <c r="D171" s="246" t="s">
        <v>632</v>
      </c>
      <c r="E171" s="16">
        <v>995268651</v>
      </c>
      <c r="F171" s="16"/>
      <c r="G171" s="242" t="s">
        <v>633</v>
      </c>
      <c r="H171" s="288" t="s">
        <v>34</v>
      </c>
      <c r="I171" s="1" t="s">
        <v>97</v>
      </c>
      <c r="J171" s="1">
        <v>505</v>
      </c>
      <c r="K171" s="17" t="s">
        <v>77</v>
      </c>
      <c r="L171" s="13" t="s">
        <v>380</v>
      </c>
      <c r="M171" s="40">
        <v>45895</v>
      </c>
      <c r="N171" s="40">
        <f t="shared" ca="1" si="17"/>
        <v>45960</v>
      </c>
      <c r="O171" s="30">
        <f t="shared" ca="1" si="15"/>
        <v>0.17808219178082191</v>
      </c>
      <c r="P171" s="13" t="s">
        <v>36</v>
      </c>
      <c r="Q171" s="30">
        <f t="shared" ca="1" si="16"/>
        <v>0.17808219178082191</v>
      </c>
      <c r="R171" s="281" t="s">
        <v>36</v>
      </c>
    </row>
    <row r="172" spans="2:18" ht="12" customHeight="1" x14ac:dyDescent="0.3">
      <c r="B172" s="287">
        <v>166</v>
      </c>
      <c r="C172" s="241" t="s">
        <v>634</v>
      </c>
      <c r="D172" s="241" t="s">
        <v>635</v>
      </c>
      <c r="E172" s="16">
        <v>993168415</v>
      </c>
      <c r="F172" s="16"/>
      <c r="G172" s="242" t="s">
        <v>636</v>
      </c>
      <c r="H172" s="288" t="s">
        <v>34</v>
      </c>
      <c r="I172" s="1" t="s">
        <v>97</v>
      </c>
      <c r="J172" s="1">
        <v>506</v>
      </c>
      <c r="K172" s="17" t="s">
        <v>77</v>
      </c>
      <c r="L172" s="13" t="s">
        <v>380</v>
      </c>
      <c r="M172" s="40">
        <v>45940</v>
      </c>
      <c r="N172" s="40">
        <f t="shared" ca="1" si="17"/>
        <v>45960</v>
      </c>
      <c r="O172" s="30">
        <f t="shared" ca="1" si="15"/>
        <v>5.4794520547945202E-2</v>
      </c>
      <c r="P172" s="13" t="s">
        <v>36</v>
      </c>
      <c r="Q172" s="30">
        <f t="shared" ca="1" si="16"/>
        <v>5.4794520547945202E-2</v>
      </c>
      <c r="R172" s="281" t="s">
        <v>36</v>
      </c>
    </row>
    <row r="173" spans="2:18" ht="12" customHeight="1" x14ac:dyDescent="0.25">
      <c r="B173" s="287">
        <v>167</v>
      </c>
      <c r="C173" s="210" t="s">
        <v>211</v>
      </c>
      <c r="D173" s="202" t="s">
        <v>212</v>
      </c>
      <c r="E173" s="16">
        <v>990974129</v>
      </c>
      <c r="F173" s="16" t="s">
        <v>637</v>
      </c>
      <c r="G173" s="35" t="s">
        <v>638</v>
      </c>
      <c r="H173" s="288" t="s">
        <v>34</v>
      </c>
      <c r="I173" s="1" t="s">
        <v>97</v>
      </c>
      <c r="J173" s="1">
        <v>507</v>
      </c>
      <c r="K173" s="21" t="s">
        <v>105</v>
      </c>
      <c r="L173" s="13" t="s">
        <v>380</v>
      </c>
      <c r="M173" s="40">
        <v>45589</v>
      </c>
      <c r="N173" s="40">
        <f t="shared" ca="1" si="17"/>
        <v>45960</v>
      </c>
      <c r="O173" s="30">
        <f t="shared" ca="1" si="15"/>
        <v>1.0164383561643835</v>
      </c>
      <c r="P173" s="13" t="s">
        <v>36</v>
      </c>
      <c r="Q173" s="30">
        <f t="shared" ca="1" si="16"/>
        <v>1.0164383561643835</v>
      </c>
      <c r="R173" s="281" t="s">
        <v>36</v>
      </c>
    </row>
    <row r="174" spans="2:18" ht="12" customHeight="1" x14ac:dyDescent="0.25">
      <c r="B174" s="277">
        <v>168</v>
      </c>
      <c r="C174" s="298" t="s">
        <v>154</v>
      </c>
      <c r="D174" s="299" t="s">
        <v>155</v>
      </c>
      <c r="E174" s="37">
        <v>993630215</v>
      </c>
      <c r="F174" s="37" t="s">
        <v>639</v>
      </c>
      <c r="G174" s="300" t="s">
        <v>640</v>
      </c>
      <c r="H174" s="1" t="s">
        <v>34</v>
      </c>
      <c r="I174" s="1" t="s">
        <v>97</v>
      </c>
      <c r="J174" s="1">
        <v>508</v>
      </c>
      <c r="K174" s="17" t="s">
        <v>77</v>
      </c>
      <c r="L174" s="268" t="s">
        <v>380</v>
      </c>
      <c r="M174" s="40">
        <v>45632</v>
      </c>
      <c r="N174" s="40">
        <f t="shared" ca="1" si="17"/>
        <v>45960</v>
      </c>
      <c r="O174" s="30">
        <f t="shared" ca="1" si="15"/>
        <v>0.89863013698630134</v>
      </c>
      <c r="P174" s="13" t="s">
        <v>36</v>
      </c>
      <c r="Q174" s="30">
        <f t="shared" ca="1" si="16"/>
        <v>0.89863013698630134</v>
      </c>
      <c r="R174" s="281" t="s">
        <v>36</v>
      </c>
    </row>
    <row r="175" spans="2:18" ht="12" customHeight="1" x14ac:dyDescent="0.3">
      <c r="B175" s="277">
        <v>169</v>
      </c>
      <c r="C175" s="23" t="s">
        <v>303</v>
      </c>
      <c r="D175" s="208" t="s">
        <v>304</v>
      </c>
      <c r="E175" s="16">
        <v>990729067</v>
      </c>
      <c r="F175" s="16"/>
      <c r="G175" s="232" t="s">
        <v>641</v>
      </c>
      <c r="H175" s="1" t="s">
        <v>34</v>
      </c>
      <c r="I175" s="1" t="s">
        <v>65</v>
      </c>
      <c r="J175" s="1">
        <v>509</v>
      </c>
      <c r="K175" s="17" t="s">
        <v>77</v>
      </c>
      <c r="L175" s="233" t="s">
        <v>380</v>
      </c>
      <c r="M175" s="40">
        <v>45877</v>
      </c>
      <c r="N175" s="40">
        <f t="shared" ca="1" si="17"/>
        <v>45960</v>
      </c>
      <c r="O175" s="263">
        <f t="shared" ca="1" si="15"/>
        <v>0.22739726027397261</v>
      </c>
      <c r="P175" s="117" t="s">
        <v>36</v>
      </c>
      <c r="Q175" s="30">
        <f t="shared" ca="1" si="16"/>
        <v>0.22739726027397261</v>
      </c>
      <c r="R175" s="282" t="s">
        <v>36</v>
      </c>
    </row>
    <row r="176" spans="2:18" ht="12" customHeight="1" x14ac:dyDescent="0.25">
      <c r="B176" s="277">
        <v>170</v>
      </c>
      <c r="C176" s="210" t="s">
        <v>642</v>
      </c>
      <c r="D176" s="202" t="s">
        <v>643</v>
      </c>
      <c r="E176" s="16">
        <v>949424705</v>
      </c>
      <c r="F176" s="16">
        <v>974794997</v>
      </c>
      <c r="G176" s="35" t="s">
        <v>644</v>
      </c>
      <c r="H176" s="1" t="s">
        <v>34</v>
      </c>
      <c r="I176" s="1" t="s">
        <v>65</v>
      </c>
      <c r="J176" s="1">
        <v>510</v>
      </c>
      <c r="K176" s="18" t="s">
        <v>54</v>
      </c>
      <c r="L176" s="13" t="s">
        <v>380</v>
      </c>
      <c r="M176" s="40">
        <v>45582</v>
      </c>
      <c r="N176" s="40">
        <f t="shared" ca="1" si="17"/>
        <v>45960</v>
      </c>
      <c r="O176" s="30">
        <f t="shared" ca="1" si="15"/>
        <v>1.0356164383561643</v>
      </c>
      <c r="P176" s="13" t="s">
        <v>36</v>
      </c>
      <c r="Q176" s="30">
        <f t="shared" ca="1" si="16"/>
        <v>1.0356164383561643</v>
      </c>
      <c r="R176" s="281" t="s">
        <v>36</v>
      </c>
    </row>
    <row r="177" spans="2:18" ht="12" customHeight="1" x14ac:dyDescent="0.25">
      <c r="B177" s="277">
        <v>171</v>
      </c>
      <c r="C177" s="301" t="s">
        <v>645</v>
      </c>
      <c r="D177" s="302" t="s">
        <v>646</v>
      </c>
      <c r="E177" s="36">
        <v>971723363</v>
      </c>
      <c r="F177" s="36"/>
      <c r="G177" s="303" t="s">
        <v>647</v>
      </c>
      <c r="H177" s="1" t="s">
        <v>34</v>
      </c>
      <c r="I177" s="1" t="s">
        <v>65</v>
      </c>
      <c r="J177" s="1">
        <v>511</v>
      </c>
      <c r="K177" s="17" t="s">
        <v>77</v>
      </c>
      <c r="L177" s="13" t="s">
        <v>380</v>
      </c>
      <c r="M177" s="40">
        <v>45898</v>
      </c>
      <c r="N177" s="40">
        <f t="shared" ca="1" si="17"/>
        <v>45960</v>
      </c>
      <c r="O177" s="30">
        <f t="shared" ca="1" si="15"/>
        <v>0.16986301369863013</v>
      </c>
      <c r="P177" s="13" t="s">
        <v>36</v>
      </c>
      <c r="Q177" s="30">
        <f t="shared" ca="1" si="16"/>
        <v>0.16986301369863013</v>
      </c>
      <c r="R177" s="281" t="s">
        <v>36</v>
      </c>
    </row>
    <row r="178" spans="2:18" ht="12" customHeight="1" x14ac:dyDescent="0.3">
      <c r="B178" s="287">
        <v>172</v>
      </c>
      <c r="C178" s="241" t="s">
        <v>648</v>
      </c>
      <c r="D178" s="241" t="s">
        <v>649</v>
      </c>
      <c r="E178" s="16">
        <v>965811814</v>
      </c>
      <c r="F178" s="16"/>
      <c r="G178" s="242" t="s">
        <v>650</v>
      </c>
      <c r="H178" s="288" t="s">
        <v>34</v>
      </c>
      <c r="I178" s="1" t="s">
        <v>65</v>
      </c>
      <c r="J178" s="1">
        <v>512</v>
      </c>
      <c r="K178" s="17" t="s">
        <v>77</v>
      </c>
      <c r="L178" s="13" t="s">
        <v>380</v>
      </c>
      <c r="M178" s="40">
        <v>45926</v>
      </c>
      <c r="N178" s="40">
        <f t="shared" ca="1" si="17"/>
        <v>45960</v>
      </c>
      <c r="O178" s="30">
        <f t="shared" ca="1" si="15"/>
        <v>9.3150684931506855E-2</v>
      </c>
      <c r="P178" s="13" t="s">
        <v>36</v>
      </c>
      <c r="Q178" s="30">
        <f t="shared" ca="1" si="16"/>
        <v>9.3150684931506855E-2</v>
      </c>
      <c r="R178" s="281" t="s">
        <v>36</v>
      </c>
    </row>
    <row r="179" spans="2:18" ht="12" customHeight="1" x14ac:dyDescent="0.25">
      <c r="B179" s="277">
        <v>173</v>
      </c>
      <c r="C179" s="298" t="s">
        <v>224</v>
      </c>
      <c r="D179" s="299" t="s">
        <v>225</v>
      </c>
      <c r="E179" s="37">
        <v>965667615</v>
      </c>
      <c r="F179" s="37"/>
      <c r="G179" s="300" t="s">
        <v>651</v>
      </c>
      <c r="H179" s="1" t="s">
        <v>34</v>
      </c>
      <c r="I179" s="1" t="s">
        <v>65</v>
      </c>
      <c r="J179" s="1">
        <v>513</v>
      </c>
      <c r="K179" s="18" t="s">
        <v>54</v>
      </c>
      <c r="L179" s="13" t="s">
        <v>380</v>
      </c>
      <c r="M179" s="40">
        <v>45582</v>
      </c>
      <c r="N179" s="40">
        <f t="shared" ca="1" si="17"/>
        <v>45960</v>
      </c>
      <c r="O179" s="30">
        <f t="shared" ca="1" si="15"/>
        <v>1.0356164383561643</v>
      </c>
      <c r="P179" s="13" t="s">
        <v>36</v>
      </c>
      <c r="Q179" s="30">
        <f t="shared" ca="1" si="16"/>
        <v>1.0356164383561643</v>
      </c>
      <c r="R179" s="281" t="s">
        <v>36</v>
      </c>
    </row>
    <row r="180" spans="2:18" ht="12" customHeight="1" x14ac:dyDescent="0.25">
      <c r="B180" s="277">
        <v>174</v>
      </c>
      <c r="C180" s="210" t="s">
        <v>267</v>
      </c>
      <c r="D180" s="202" t="s">
        <v>160</v>
      </c>
      <c r="E180" s="16">
        <v>975257731</v>
      </c>
      <c r="F180" s="16"/>
      <c r="G180" s="35" t="s">
        <v>652</v>
      </c>
      <c r="H180" s="1" t="s">
        <v>34</v>
      </c>
      <c r="I180" s="1" t="s">
        <v>65</v>
      </c>
      <c r="J180" s="1">
        <v>514</v>
      </c>
      <c r="K180" s="18" t="s">
        <v>54</v>
      </c>
      <c r="L180" s="13" t="s">
        <v>380</v>
      </c>
      <c r="M180" s="40">
        <v>45582</v>
      </c>
      <c r="N180" s="40">
        <f t="shared" ca="1" si="17"/>
        <v>45960</v>
      </c>
      <c r="O180" s="30">
        <f t="shared" ca="1" si="15"/>
        <v>1.0356164383561643</v>
      </c>
      <c r="P180" s="13" t="s">
        <v>36</v>
      </c>
      <c r="Q180" s="30">
        <f t="shared" ca="1" si="16"/>
        <v>1.0356164383561643</v>
      </c>
      <c r="R180" s="281" t="s">
        <v>36</v>
      </c>
    </row>
    <row r="181" spans="2:18" ht="12" customHeight="1" x14ac:dyDescent="0.25">
      <c r="B181" s="277">
        <v>175</v>
      </c>
      <c r="C181" s="210" t="s">
        <v>118</v>
      </c>
      <c r="D181" s="202" t="s">
        <v>119</v>
      </c>
      <c r="E181" s="16">
        <v>932795258</v>
      </c>
      <c r="F181" s="16">
        <v>952223433</v>
      </c>
      <c r="G181" s="35" t="s">
        <v>653</v>
      </c>
      <c r="H181" s="1" t="s">
        <v>34</v>
      </c>
      <c r="I181" s="1" t="s">
        <v>65</v>
      </c>
      <c r="J181" s="1">
        <v>515</v>
      </c>
      <c r="K181" s="18" t="s">
        <v>54</v>
      </c>
      <c r="L181" s="13" t="s">
        <v>380</v>
      </c>
      <c r="M181" s="40">
        <v>45582</v>
      </c>
      <c r="N181" s="40">
        <f t="shared" ca="1" si="17"/>
        <v>45960</v>
      </c>
      <c r="O181" s="30">
        <f t="shared" ca="1" si="15"/>
        <v>1.0356164383561643</v>
      </c>
      <c r="P181" s="13" t="s">
        <v>36</v>
      </c>
      <c r="Q181" s="30">
        <f t="shared" ca="1" si="16"/>
        <v>1.0356164383561643</v>
      </c>
      <c r="R181" s="281" t="s">
        <v>36</v>
      </c>
    </row>
    <row r="182" spans="2:18" ht="12" customHeight="1" x14ac:dyDescent="0.25">
      <c r="B182" s="277">
        <v>176</v>
      </c>
      <c r="C182" s="210" t="s">
        <v>138</v>
      </c>
      <c r="D182" s="205" t="s">
        <v>139</v>
      </c>
      <c r="E182" s="16">
        <v>982231889</v>
      </c>
      <c r="F182" s="16">
        <v>987600571</v>
      </c>
      <c r="G182" s="220" t="s">
        <v>654</v>
      </c>
      <c r="H182" s="1" t="s">
        <v>34</v>
      </c>
      <c r="I182" s="1" t="s">
        <v>65</v>
      </c>
      <c r="J182" s="1">
        <v>516</v>
      </c>
      <c r="K182" s="20" t="s">
        <v>82</v>
      </c>
      <c r="L182" s="13" t="s">
        <v>380</v>
      </c>
      <c r="M182" s="40">
        <v>45604</v>
      </c>
      <c r="N182" s="40">
        <f t="shared" ca="1" si="17"/>
        <v>45960</v>
      </c>
      <c r="O182" s="30">
        <f t="shared" ca="1" si="15"/>
        <v>0.97534246575342465</v>
      </c>
      <c r="P182" s="13" t="s">
        <v>36</v>
      </c>
      <c r="Q182" s="30">
        <f t="shared" ca="1" si="16"/>
        <v>0.97534246575342465</v>
      </c>
      <c r="R182" s="281" t="s">
        <v>36</v>
      </c>
    </row>
    <row r="183" spans="2:18" ht="12" customHeight="1" x14ac:dyDescent="0.25">
      <c r="B183" s="277">
        <v>177</v>
      </c>
      <c r="C183" s="210" t="s">
        <v>655</v>
      </c>
      <c r="D183" s="202" t="s">
        <v>656</v>
      </c>
      <c r="E183" s="16">
        <v>959567298</v>
      </c>
      <c r="F183" s="16"/>
      <c r="G183" s="35" t="s">
        <v>657</v>
      </c>
      <c r="H183" s="1" t="s">
        <v>34</v>
      </c>
      <c r="I183" s="1" t="s">
        <v>53</v>
      </c>
      <c r="J183" s="1">
        <v>517</v>
      </c>
      <c r="K183" s="18" t="s">
        <v>54</v>
      </c>
      <c r="L183" s="13" t="s">
        <v>380</v>
      </c>
      <c r="M183" s="40">
        <v>45582</v>
      </c>
      <c r="N183" s="40">
        <f t="shared" ca="1" si="17"/>
        <v>45960</v>
      </c>
      <c r="O183" s="30">
        <f t="shared" ca="1" si="15"/>
        <v>1.0356164383561643</v>
      </c>
      <c r="P183" s="13" t="s">
        <v>36</v>
      </c>
      <c r="Q183" s="30">
        <f t="shared" ca="1" si="16"/>
        <v>1.0356164383561643</v>
      </c>
      <c r="R183" s="281" t="s">
        <v>36</v>
      </c>
    </row>
    <row r="184" spans="2:18" ht="12" customHeight="1" x14ac:dyDescent="0.25">
      <c r="B184" s="277">
        <v>178</v>
      </c>
      <c r="C184" s="210" t="s">
        <v>158</v>
      </c>
      <c r="D184" s="202" t="s">
        <v>159</v>
      </c>
      <c r="E184" s="16">
        <v>957838422</v>
      </c>
      <c r="F184" s="16">
        <v>949196660</v>
      </c>
      <c r="G184" s="220" t="s">
        <v>658</v>
      </c>
      <c r="H184" s="1" t="s">
        <v>34</v>
      </c>
      <c r="I184" s="1" t="s">
        <v>53</v>
      </c>
      <c r="J184" s="1">
        <v>518</v>
      </c>
      <c r="K184" s="18" t="s">
        <v>54</v>
      </c>
      <c r="L184" s="13" t="s">
        <v>380</v>
      </c>
      <c r="M184" s="40">
        <v>45582</v>
      </c>
      <c r="N184" s="40">
        <f t="shared" ca="1" si="17"/>
        <v>45960</v>
      </c>
      <c r="O184" s="30">
        <f t="shared" ca="1" si="15"/>
        <v>1.0356164383561643</v>
      </c>
      <c r="P184" s="13" t="s">
        <v>36</v>
      </c>
      <c r="Q184" s="30">
        <f t="shared" ca="1" si="16"/>
        <v>1.0356164383561643</v>
      </c>
      <c r="R184" s="281" t="s">
        <v>36</v>
      </c>
    </row>
    <row r="185" spans="2:18" ht="12" customHeight="1" x14ac:dyDescent="0.25">
      <c r="B185" s="277">
        <v>179</v>
      </c>
      <c r="C185" s="210" t="s">
        <v>174</v>
      </c>
      <c r="D185" s="202" t="s">
        <v>175</v>
      </c>
      <c r="E185" s="16">
        <v>947387077</v>
      </c>
      <c r="F185" s="16"/>
      <c r="G185" s="16"/>
      <c r="H185" s="1" t="s">
        <v>34</v>
      </c>
      <c r="I185" s="1" t="s">
        <v>53</v>
      </c>
      <c r="J185" s="1">
        <v>519</v>
      </c>
      <c r="K185" s="18" t="s">
        <v>54</v>
      </c>
      <c r="L185" s="13" t="s">
        <v>380</v>
      </c>
      <c r="M185" s="40">
        <v>45582</v>
      </c>
      <c r="N185" s="40">
        <f t="shared" ca="1" si="17"/>
        <v>45960</v>
      </c>
      <c r="O185" s="30">
        <f t="shared" ca="1" si="15"/>
        <v>1.0356164383561643</v>
      </c>
      <c r="P185" s="13" t="s">
        <v>36</v>
      </c>
      <c r="Q185" s="30">
        <f t="shared" ca="1" si="16"/>
        <v>1.0356164383561643</v>
      </c>
      <c r="R185" s="281" t="s">
        <v>36</v>
      </c>
    </row>
    <row r="186" spans="2:18" ht="12" customHeight="1" x14ac:dyDescent="0.25">
      <c r="B186" s="277">
        <v>180</v>
      </c>
      <c r="C186" s="210" t="s">
        <v>249</v>
      </c>
      <c r="D186" s="202" t="s">
        <v>250</v>
      </c>
      <c r="E186" s="16">
        <v>949693785</v>
      </c>
      <c r="F186" s="16"/>
      <c r="G186" s="35" t="s">
        <v>659</v>
      </c>
      <c r="H186" s="1" t="s">
        <v>34</v>
      </c>
      <c r="I186" s="1" t="s">
        <v>53</v>
      </c>
      <c r="J186" s="1">
        <v>520</v>
      </c>
      <c r="K186" s="18" t="s">
        <v>54</v>
      </c>
      <c r="L186" s="13" t="s">
        <v>380</v>
      </c>
      <c r="M186" s="40">
        <v>45582</v>
      </c>
      <c r="N186" s="40">
        <f t="shared" ca="1" si="17"/>
        <v>45960</v>
      </c>
      <c r="O186" s="30">
        <f t="shared" ca="1" si="15"/>
        <v>1.0356164383561643</v>
      </c>
      <c r="P186" s="13" t="s">
        <v>36</v>
      </c>
      <c r="Q186" s="30">
        <f t="shared" ca="1" si="16"/>
        <v>1.0356164383561643</v>
      </c>
      <c r="R186" s="281" t="s">
        <v>36</v>
      </c>
    </row>
    <row r="187" spans="2:18" ht="12" customHeight="1" x14ac:dyDescent="0.25">
      <c r="B187" s="277">
        <v>181</v>
      </c>
      <c r="C187" s="227" t="s">
        <v>660</v>
      </c>
      <c r="D187" s="204" t="s">
        <v>661</v>
      </c>
      <c r="E187" s="16">
        <v>993541858</v>
      </c>
      <c r="F187" s="16"/>
      <c r="G187" s="159" t="s">
        <v>662</v>
      </c>
      <c r="H187" s="1" t="s">
        <v>34</v>
      </c>
      <c r="I187" s="1" t="s">
        <v>53</v>
      </c>
      <c r="J187" s="1">
        <v>521</v>
      </c>
      <c r="K187" s="17" t="s">
        <v>77</v>
      </c>
      <c r="L187" s="13" t="s">
        <v>380</v>
      </c>
      <c r="M187" s="40">
        <v>45849</v>
      </c>
      <c r="N187" s="40">
        <f t="shared" ca="1" si="17"/>
        <v>45960</v>
      </c>
      <c r="O187" s="30">
        <f t="shared" ca="1" si="15"/>
        <v>0.30410958904109592</v>
      </c>
      <c r="P187" s="13" t="s">
        <v>36</v>
      </c>
      <c r="Q187" s="30">
        <f t="shared" ca="1" si="16"/>
        <v>0.30410958904109592</v>
      </c>
      <c r="R187" s="281" t="s">
        <v>36</v>
      </c>
    </row>
    <row r="188" spans="2:18" ht="12" customHeight="1" x14ac:dyDescent="0.3">
      <c r="B188" s="277">
        <v>182</v>
      </c>
      <c r="C188" s="241" t="s">
        <v>321</v>
      </c>
      <c r="D188" s="246" t="s">
        <v>663</v>
      </c>
      <c r="E188" s="16">
        <v>988134956</v>
      </c>
      <c r="F188" s="16"/>
      <c r="G188" s="242" t="s">
        <v>664</v>
      </c>
      <c r="H188" s="1" t="s">
        <v>34</v>
      </c>
      <c r="I188" s="1" t="s">
        <v>53</v>
      </c>
      <c r="J188" s="1">
        <v>522</v>
      </c>
      <c r="K188" s="17" t="s">
        <v>77</v>
      </c>
      <c r="L188" s="13" t="s">
        <v>380</v>
      </c>
      <c r="M188" s="40">
        <v>45895</v>
      </c>
      <c r="N188" s="40">
        <f t="shared" ca="1" si="17"/>
        <v>45960</v>
      </c>
      <c r="O188" s="30">
        <f t="shared" ca="1" si="15"/>
        <v>0.17808219178082191</v>
      </c>
      <c r="P188" s="13" t="s">
        <v>36</v>
      </c>
      <c r="Q188" s="30">
        <f t="shared" ca="1" si="16"/>
        <v>0.17808219178082191</v>
      </c>
      <c r="R188" s="281" t="s">
        <v>36</v>
      </c>
    </row>
    <row r="189" spans="2:18" ht="12" customHeight="1" x14ac:dyDescent="0.25">
      <c r="B189" s="277">
        <v>183</v>
      </c>
      <c r="C189" s="210" t="s">
        <v>234</v>
      </c>
      <c r="D189" s="250" t="s">
        <v>235</v>
      </c>
      <c r="E189" s="16">
        <v>937108024</v>
      </c>
      <c r="F189" s="16">
        <v>954213765</v>
      </c>
      <c r="G189" s="35" t="s">
        <v>665</v>
      </c>
      <c r="H189" s="1" t="s">
        <v>34</v>
      </c>
      <c r="I189" s="1" t="s">
        <v>53</v>
      </c>
      <c r="J189" s="1">
        <v>523</v>
      </c>
      <c r="K189" s="21" t="s">
        <v>105</v>
      </c>
      <c r="L189" s="13" t="s">
        <v>380</v>
      </c>
      <c r="M189" s="40">
        <v>45604</v>
      </c>
      <c r="N189" s="40">
        <f t="shared" ca="1" si="17"/>
        <v>45960</v>
      </c>
      <c r="O189" s="30">
        <f t="shared" ca="1" si="15"/>
        <v>0.97534246575342465</v>
      </c>
      <c r="P189" s="13" t="s">
        <v>36</v>
      </c>
      <c r="Q189" s="30">
        <f t="shared" ca="1" si="16"/>
        <v>0.97534246575342465</v>
      </c>
      <c r="R189" s="281" t="s">
        <v>36</v>
      </c>
    </row>
    <row r="190" spans="2:18" ht="12" customHeight="1" x14ac:dyDescent="0.25">
      <c r="B190" s="277">
        <v>184</v>
      </c>
      <c r="C190" s="227" t="s">
        <v>666</v>
      </c>
      <c r="D190" s="204" t="s">
        <v>667</v>
      </c>
      <c r="E190" s="16">
        <v>995750739</v>
      </c>
      <c r="F190" s="16"/>
      <c r="G190" s="159" t="s">
        <v>668</v>
      </c>
      <c r="H190" s="1" t="s">
        <v>34</v>
      </c>
      <c r="I190" s="1" t="s">
        <v>53</v>
      </c>
      <c r="J190" s="1">
        <v>524</v>
      </c>
      <c r="K190" s="17" t="s">
        <v>77</v>
      </c>
      <c r="L190" s="13" t="s">
        <v>380</v>
      </c>
      <c r="M190" s="40">
        <v>45856</v>
      </c>
      <c r="N190" s="40">
        <f t="shared" ca="1" si="17"/>
        <v>45960</v>
      </c>
      <c r="O190" s="30">
        <f t="shared" ca="1" si="15"/>
        <v>0.28493150684931506</v>
      </c>
      <c r="P190" s="13" t="s">
        <v>36</v>
      </c>
      <c r="Q190" s="30">
        <f t="shared" ca="1" si="16"/>
        <v>0.28493150684931506</v>
      </c>
      <c r="R190" s="281" t="s">
        <v>36</v>
      </c>
    </row>
    <row r="191" spans="2:18" ht="12" customHeight="1" x14ac:dyDescent="0.25">
      <c r="B191" s="277">
        <v>185</v>
      </c>
      <c r="C191" s="210"/>
      <c r="D191" s="205"/>
      <c r="E191" s="16"/>
      <c r="F191" s="16"/>
      <c r="G191" s="16"/>
      <c r="H191" s="1" t="s">
        <v>39</v>
      </c>
      <c r="I191" s="1" t="s">
        <v>57</v>
      </c>
      <c r="J191" s="1">
        <v>525</v>
      </c>
      <c r="K191" s="17" t="s">
        <v>77</v>
      </c>
      <c r="L191" s="13" t="s">
        <v>2</v>
      </c>
      <c r="M191" s="40"/>
      <c r="N191" s="40">
        <f t="shared" ca="1" si="17"/>
        <v>45960</v>
      </c>
      <c r="O191" s="30"/>
      <c r="P191" s="252"/>
      <c r="Q191" s="30"/>
      <c r="R191" s="284"/>
    </row>
    <row r="192" spans="2:18" ht="12" customHeight="1" x14ac:dyDescent="0.3">
      <c r="B192" s="277">
        <v>186</v>
      </c>
      <c r="C192" s="241" t="s">
        <v>669</v>
      </c>
      <c r="D192" s="246" t="s">
        <v>670</v>
      </c>
      <c r="E192" s="16">
        <v>984549189</v>
      </c>
      <c r="F192" s="16"/>
      <c r="G192" s="242" t="s">
        <v>671</v>
      </c>
      <c r="H192" s="1" t="s">
        <v>39</v>
      </c>
      <c r="I192" s="1" t="s">
        <v>57</v>
      </c>
      <c r="J192" s="1">
        <v>526</v>
      </c>
      <c r="K192" s="17" t="s">
        <v>77</v>
      </c>
      <c r="L192" s="13" t="s">
        <v>380</v>
      </c>
      <c r="M192" s="40">
        <v>45891</v>
      </c>
      <c r="N192" s="40">
        <f t="shared" ca="1" si="17"/>
        <v>45960</v>
      </c>
      <c r="O192" s="30">
        <f t="shared" ref="O192:O206" ca="1" si="18">+((N192-M192)/365)</f>
        <v>0.18904109589041096</v>
      </c>
      <c r="P192" s="13" t="s">
        <v>36</v>
      </c>
      <c r="Q192" s="30">
        <f t="shared" ref="Q192:Q206" ca="1" si="19">+((N192-M192)/365)</f>
        <v>0.18904109589041096</v>
      </c>
      <c r="R192" s="281" t="s">
        <v>36</v>
      </c>
    </row>
    <row r="193" spans="2:18" ht="12" customHeight="1" x14ac:dyDescent="0.25">
      <c r="B193" s="277">
        <v>187</v>
      </c>
      <c r="C193" s="210" t="s">
        <v>197</v>
      </c>
      <c r="D193" s="202" t="s">
        <v>198</v>
      </c>
      <c r="E193" s="16">
        <v>971362197</v>
      </c>
      <c r="F193" s="16"/>
      <c r="G193" s="35" t="s">
        <v>672</v>
      </c>
      <c r="H193" s="1" t="s">
        <v>39</v>
      </c>
      <c r="I193" s="1" t="s">
        <v>57</v>
      </c>
      <c r="J193" s="1">
        <v>527</v>
      </c>
      <c r="K193" s="21" t="s">
        <v>105</v>
      </c>
      <c r="L193" s="13" t="s">
        <v>380</v>
      </c>
      <c r="M193" s="40">
        <v>45590</v>
      </c>
      <c r="N193" s="40">
        <f t="shared" ca="1" si="17"/>
        <v>45960</v>
      </c>
      <c r="O193" s="30">
        <f t="shared" ca="1" si="18"/>
        <v>1.0136986301369864</v>
      </c>
      <c r="P193" s="13" t="s">
        <v>36</v>
      </c>
      <c r="Q193" s="30">
        <f t="shared" ca="1" si="19"/>
        <v>1.0136986301369864</v>
      </c>
      <c r="R193" s="281" t="s">
        <v>36</v>
      </c>
    </row>
    <row r="194" spans="2:18" ht="12" customHeight="1" x14ac:dyDescent="0.3">
      <c r="B194" s="277">
        <v>188</v>
      </c>
      <c r="C194" s="241" t="s">
        <v>318</v>
      </c>
      <c r="D194" s="246" t="s">
        <v>319</v>
      </c>
      <c r="E194" s="16">
        <v>56361312</v>
      </c>
      <c r="F194" s="16"/>
      <c r="G194" s="242" t="s">
        <v>673</v>
      </c>
      <c r="H194" s="1" t="s">
        <v>39</v>
      </c>
      <c r="I194" s="1" t="s">
        <v>57</v>
      </c>
      <c r="J194" s="1">
        <v>528</v>
      </c>
      <c r="K194" s="17" t="s">
        <v>77</v>
      </c>
      <c r="L194" s="13" t="s">
        <v>380</v>
      </c>
      <c r="M194" s="40">
        <v>45898</v>
      </c>
      <c r="N194" s="40">
        <f t="shared" ca="1" si="17"/>
        <v>45960</v>
      </c>
      <c r="O194" s="30">
        <f t="shared" ca="1" si="18"/>
        <v>0.16986301369863013</v>
      </c>
      <c r="P194" s="13" t="s">
        <v>36</v>
      </c>
      <c r="Q194" s="30">
        <f t="shared" ca="1" si="19"/>
        <v>0.16986301369863013</v>
      </c>
      <c r="R194" s="281" t="s">
        <v>36</v>
      </c>
    </row>
    <row r="195" spans="2:18" ht="12" customHeight="1" x14ac:dyDescent="0.25">
      <c r="B195" s="277">
        <v>189</v>
      </c>
      <c r="C195" s="210" t="s">
        <v>230</v>
      </c>
      <c r="D195" s="202" t="s">
        <v>231</v>
      </c>
      <c r="E195" s="16">
        <v>977918774</v>
      </c>
      <c r="F195" s="16"/>
      <c r="G195" s="35" t="s">
        <v>674</v>
      </c>
      <c r="H195" s="1" t="s">
        <v>39</v>
      </c>
      <c r="I195" s="1" t="s">
        <v>57</v>
      </c>
      <c r="J195" s="1">
        <v>529</v>
      </c>
      <c r="K195" s="20" t="s">
        <v>82</v>
      </c>
      <c r="L195" s="13" t="s">
        <v>380</v>
      </c>
      <c r="M195" s="40">
        <v>45590</v>
      </c>
      <c r="N195" s="40">
        <f t="shared" ca="1" si="17"/>
        <v>45960</v>
      </c>
      <c r="O195" s="30">
        <f t="shared" ca="1" si="18"/>
        <v>1.0136986301369864</v>
      </c>
      <c r="P195" s="13" t="s">
        <v>36</v>
      </c>
      <c r="Q195" s="30">
        <f t="shared" ca="1" si="19"/>
        <v>1.0136986301369864</v>
      </c>
      <c r="R195" s="281" t="s">
        <v>36</v>
      </c>
    </row>
    <row r="196" spans="2:18" ht="12" customHeight="1" x14ac:dyDescent="0.25">
      <c r="B196" s="277">
        <v>190</v>
      </c>
      <c r="C196" s="210" t="s">
        <v>675</v>
      </c>
      <c r="D196" s="202" t="s">
        <v>676</v>
      </c>
      <c r="E196" s="16">
        <v>956101743</v>
      </c>
      <c r="F196" s="16">
        <v>947434881</v>
      </c>
      <c r="G196" s="35" t="s">
        <v>677</v>
      </c>
      <c r="H196" s="1" t="s">
        <v>39</v>
      </c>
      <c r="I196" s="1" t="s">
        <v>57</v>
      </c>
      <c r="J196" s="1">
        <v>530</v>
      </c>
      <c r="K196" s="18" t="s">
        <v>54</v>
      </c>
      <c r="L196" s="13" t="s">
        <v>380</v>
      </c>
      <c r="M196" s="40">
        <v>45582</v>
      </c>
      <c r="N196" s="40">
        <f t="shared" ca="1" si="17"/>
        <v>45960</v>
      </c>
      <c r="O196" s="30">
        <f t="shared" ca="1" si="18"/>
        <v>1.0356164383561643</v>
      </c>
      <c r="P196" s="13" t="s">
        <v>36</v>
      </c>
      <c r="Q196" s="30">
        <f t="shared" ca="1" si="19"/>
        <v>1.0356164383561643</v>
      </c>
      <c r="R196" s="281" t="s">
        <v>36</v>
      </c>
    </row>
    <row r="197" spans="2:18" ht="12" customHeight="1" x14ac:dyDescent="0.25">
      <c r="B197" s="277">
        <v>191</v>
      </c>
      <c r="C197" s="210" t="s">
        <v>186</v>
      </c>
      <c r="D197" s="202" t="s">
        <v>187</v>
      </c>
      <c r="E197" s="16">
        <v>946443639</v>
      </c>
      <c r="F197" s="16"/>
      <c r="G197" s="35" t="s">
        <v>678</v>
      </c>
      <c r="H197" s="1" t="s">
        <v>39</v>
      </c>
      <c r="I197" s="1" t="s">
        <v>57</v>
      </c>
      <c r="J197" s="1">
        <v>531</v>
      </c>
      <c r="K197" s="18" t="s">
        <v>54</v>
      </c>
      <c r="L197" s="13" t="s">
        <v>380</v>
      </c>
      <c r="M197" s="40">
        <v>45582</v>
      </c>
      <c r="N197" s="40">
        <f t="shared" ca="1" si="17"/>
        <v>45960</v>
      </c>
      <c r="O197" s="30">
        <f t="shared" ca="1" si="18"/>
        <v>1.0356164383561643</v>
      </c>
      <c r="P197" s="13" t="s">
        <v>36</v>
      </c>
      <c r="Q197" s="30">
        <f t="shared" ca="1" si="19"/>
        <v>1.0356164383561643</v>
      </c>
      <c r="R197" s="281" t="s">
        <v>36</v>
      </c>
    </row>
    <row r="198" spans="2:18" ht="12" customHeight="1" x14ac:dyDescent="0.25">
      <c r="B198" s="277">
        <v>192</v>
      </c>
      <c r="C198" s="210" t="s">
        <v>679</v>
      </c>
      <c r="D198" s="202" t="s">
        <v>680</v>
      </c>
      <c r="E198" s="16">
        <v>950351919</v>
      </c>
      <c r="F198" s="16"/>
      <c r="G198" s="35" t="s">
        <v>681</v>
      </c>
      <c r="H198" s="1" t="s">
        <v>39</v>
      </c>
      <c r="I198" s="1" t="s">
        <v>57</v>
      </c>
      <c r="J198" s="1">
        <v>532</v>
      </c>
      <c r="K198" s="18" t="s">
        <v>54</v>
      </c>
      <c r="L198" s="13" t="s">
        <v>380</v>
      </c>
      <c r="M198" s="40">
        <v>45582</v>
      </c>
      <c r="N198" s="40">
        <f t="shared" ca="1" si="17"/>
        <v>45960</v>
      </c>
      <c r="O198" s="30">
        <f t="shared" ca="1" si="18"/>
        <v>1.0356164383561643</v>
      </c>
      <c r="P198" s="13" t="s">
        <v>36</v>
      </c>
      <c r="Q198" s="30">
        <f t="shared" ca="1" si="19"/>
        <v>1.0356164383561643</v>
      </c>
      <c r="R198" s="281" t="s">
        <v>36</v>
      </c>
    </row>
    <row r="199" spans="2:18" ht="12" customHeight="1" x14ac:dyDescent="0.25">
      <c r="B199" s="277">
        <v>193</v>
      </c>
      <c r="C199" s="227" t="s">
        <v>264</v>
      </c>
      <c r="D199" s="204" t="s">
        <v>265</v>
      </c>
      <c r="E199" s="16">
        <v>962376579</v>
      </c>
      <c r="F199" s="16">
        <v>965752722</v>
      </c>
      <c r="G199" s="220" t="s">
        <v>682</v>
      </c>
      <c r="H199" s="1" t="s">
        <v>39</v>
      </c>
      <c r="I199" s="1" t="s">
        <v>60</v>
      </c>
      <c r="J199" s="1">
        <v>533</v>
      </c>
      <c r="K199" s="17" t="s">
        <v>77</v>
      </c>
      <c r="L199" s="13" t="s">
        <v>380</v>
      </c>
      <c r="M199" s="40">
        <v>45786</v>
      </c>
      <c r="N199" s="40">
        <f t="shared" ref="N199:N206" ca="1" si="20">+TODAY()</f>
        <v>45960</v>
      </c>
      <c r="O199" s="30">
        <f t="shared" ca="1" si="18"/>
        <v>0.47671232876712327</v>
      </c>
      <c r="P199" s="13" t="s">
        <v>36</v>
      </c>
      <c r="Q199" s="30">
        <f t="shared" ca="1" si="19"/>
        <v>0.47671232876712327</v>
      </c>
      <c r="R199" s="281" t="s">
        <v>36</v>
      </c>
    </row>
    <row r="200" spans="2:18" ht="12" customHeight="1" x14ac:dyDescent="0.3">
      <c r="B200" s="277">
        <v>194</v>
      </c>
      <c r="C200" s="23" t="s">
        <v>683</v>
      </c>
      <c r="D200" s="249" t="s">
        <v>684</v>
      </c>
      <c r="E200" s="16">
        <v>956550944</v>
      </c>
      <c r="F200" s="16"/>
      <c r="G200" s="232" t="s">
        <v>685</v>
      </c>
      <c r="H200" s="1" t="s">
        <v>39</v>
      </c>
      <c r="I200" s="1" t="s">
        <v>60</v>
      </c>
      <c r="J200" s="1">
        <v>534</v>
      </c>
      <c r="K200" s="17" t="s">
        <v>77</v>
      </c>
      <c r="L200" s="117" t="s">
        <v>380</v>
      </c>
      <c r="M200" s="40">
        <v>45897</v>
      </c>
      <c r="N200" s="40">
        <f t="shared" ca="1" si="20"/>
        <v>45960</v>
      </c>
      <c r="O200" s="263">
        <f t="shared" ca="1" si="18"/>
        <v>0.17260273972602741</v>
      </c>
      <c r="P200" s="117" t="s">
        <v>36</v>
      </c>
      <c r="Q200" s="30">
        <f t="shared" ca="1" si="19"/>
        <v>0.17260273972602741</v>
      </c>
      <c r="R200" s="282" t="s">
        <v>36</v>
      </c>
    </row>
    <row r="201" spans="2:18" ht="12" customHeight="1" x14ac:dyDescent="0.25">
      <c r="B201" s="277">
        <v>195</v>
      </c>
      <c r="C201" s="210" t="s">
        <v>72</v>
      </c>
      <c r="D201" s="202" t="s">
        <v>73</v>
      </c>
      <c r="E201" s="16">
        <v>966470669</v>
      </c>
      <c r="F201" s="16"/>
      <c r="G201" s="35" t="s">
        <v>686</v>
      </c>
      <c r="H201" s="1" t="s">
        <v>39</v>
      </c>
      <c r="I201" s="1" t="s">
        <v>60</v>
      </c>
      <c r="J201" s="1">
        <v>535</v>
      </c>
      <c r="K201" s="18" t="s">
        <v>54</v>
      </c>
      <c r="L201" s="13" t="s">
        <v>380</v>
      </c>
      <c r="M201" s="40">
        <v>45582</v>
      </c>
      <c r="N201" s="40">
        <f t="shared" ca="1" si="20"/>
        <v>45960</v>
      </c>
      <c r="O201" s="30">
        <f t="shared" ca="1" si="18"/>
        <v>1.0356164383561643</v>
      </c>
      <c r="P201" s="13" t="s">
        <v>36</v>
      </c>
      <c r="Q201" s="30">
        <f t="shared" ca="1" si="19"/>
        <v>1.0356164383561643</v>
      </c>
      <c r="R201" s="281" t="s">
        <v>36</v>
      </c>
    </row>
    <row r="202" spans="2:18" ht="12" customHeight="1" x14ac:dyDescent="0.25">
      <c r="B202" s="277">
        <v>196</v>
      </c>
      <c r="C202" s="210" t="s">
        <v>136</v>
      </c>
      <c r="D202" s="202" t="s">
        <v>137</v>
      </c>
      <c r="E202" s="16">
        <v>956833462</v>
      </c>
      <c r="F202" s="16">
        <v>945952244</v>
      </c>
      <c r="G202" s="35" t="s">
        <v>687</v>
      </c>
      <c r="H202" s="1" t="s">
        <v>39</v>
      </c>
      <c r="I202" s="1" t="s">
        <v>60</v>
      </c>
      <c r="J202" s="1">
        <v>536</v>
      </c>
      <c r="K202" s="17" t="s">
        <v>77</v>
      </c>
      <c r="L202" s="13" t="s">
        <v>380</v>
      </c>
      <c r="M202" s="40">
        <v>45632</v>
      </c>
      <c r="N202" s="40">
        <f t="shared" ca="1" si="20"/>
        <v>45960</v>
      </c>
      <c r="O202" s="30">
        <f t="shared" ca="1" si="18"/>
        <v>0.89863013698630134</v>
      </c>
      <c r="P202" s="13" t="s">
        <v>36</v>
      </c>
      <c r="Q202" s="30">
        <f t="shared" ca="1" si="19"/>
        <v>0.89863013698630134</v>
      </c>
      <c r="R202" s="281" t="s">
        <v>36</v>
      </c>
    </row>
    <row r="203" spans="2:18" ht="12" customHeight="1" x14ac:dyDescent="0.25">
      <c r="B203" s="277">
        <v>197</v>
      </c>
      <c r="C203" s="210" t="s">
        <v>219</v>
      </c>
      <c r="D203" s="202" t="s">
        <v>220</v>
      </c>
      <c r="E203" s="16">
        <v>984441103</v>
      </c>
      <c r="F203" s="16">
        <v>958797470</v>
      </c>
      <c r="G203" s="35" t="s">
        <v>688</v>
      </c>
      <c r="H203" s="1" t="s">
        <v>39</v>
      </c>
      <c r="I203" s="1" t="s">
        <v>60</v>
      </c>
      <c r="J203" s="1">
        <v>537</v>
      </c>
      <c r="K203" s="20" t="s">
        <v>82</v>
      </c>
      <c r="L203" s="267" t="s">
        <v>380</v>
      </c>
      <c r="M203" s="40">
        <v>45644</v>
      </c>
      <c r="N203" s="40">
        <f t="shared" ca="1" si="20"/>
        <v>45960</v>
      </c>
      <c r="O203" s="30">
        <f t="shared" ca="1" si="18"/>
        <v>0.86575342465753424</v>
      </c>
      <c r="P203" s="13" t="s">
        <v>36</v>
      </c>
      <c r="Q203" s="30">
        <f t="shared" ca="1" si="19"/>
        <v>0.86575342465753424</v>
      </c>
      <c r="R203" s="281" t="s">
        <v>36</v>
      </c>
    </row>
    <row r="204" spans="2:18" ht="12" customHeight="1" x14ac:dyDescent="0.25">
      <c r="B204" s="277">
        <v>198</v>
      </c>
      <c r="C204" s="210" t="s">
        <v>66</v>
      </c>
      <c r="D204" s="202" t="s">
        <v>67</v>
      </c>
      <c r="E204" s="16">
        <v>968703582</v>
      </c>
      <c r="F204" s="16">
        <v>961877763</v>
      </c>
      <c r="G204" s="35" t="s">
        <v>689</v>
      </c>
      <c r="H204" s="1" t="s">
        <v>39</v>
      </c>
      <c r="I204" s="1" t="s">
        <v>60</v>
      </c>
      <c r="J204" s="1">
        <v>538</v>
      </c>
      <c r="K204" s="18" t="s">
        <v>54</v>
      </c>
      <c r="L204" s="13" t="s">
        <v>380</v>
      </c>
      <c r="M204" s="40">
        <v>45582</v>
      </c>
      <c r="N204" s="40">
        <f t="shared" ca="1" si="20"/>
        <v>45960</v>
      </c>
      <c r="O204" s="30">
        <f t="shared" ca="1" si="18"/>
        <v>1.0356164383561643</v>
      </c>
      <c r="P204" s="13" t="s">
        <v>36</v>
      </c>
      <c r="Q204" s="30">
        <f t="shared" ca="1" si="19"/>
        <v>1.0356164383561643</v>
      </c>
      <c r="R204" s="281" t="s">
        <v>36</v>
      </c>
    </row>
    <row r="205" spans="2:18" ht="12" customHeight="1" x14ac:dyDescent="0.25">
      <c r="B205" s="277">
        <v>199</v>
      </c>
      <c r="C205" s="210" t="s">
        <v>236</v>
      </c>
      <c r="D205" s="202" t="s">
        <v>237</v>
      </c>
      <c r="E205" s="16">
        <v>972041948</v>
      </c>
      <c r="F205" s="16">
        <v>985229510</v>
      </c>
      <c r="G205" s="35" t="s">
        <v>690</v>
      </c>
      <c r="H205" s="1" t="s">
        <v>39</v>
      </c>
      <c r="I205" s="1" t="s">
        <v>60</v>
      </c>
      <c r="J205" s="1">
        <v>539</v>
      </c>
      <c r="K205" s="18" t="s">
        <v>54</v>
      </c>
      <c r="L205" s="13" t="s">
        <v>380</v>
      </c>
      <c r="M205" s="40">
        <v>45588</v>
      </c>
      <c r="N205" s="40">
        <f t="shared" ca="1" si="20"/>
        <v>45960</v>
      </c>
      <c r="O205" s="264">
        <f t="shared" ca="1" si="18"/>
        <v>1.0191780821917809</v>
      </c>
      <c r="P205" s="13" t="s">
        <v>36</v>
      </c>
      <c r="Q205" s="30">
        <f t="shared" ca="1" si="19"/>
        <v>1.0191780821917809</v>
      </c>
      <c r="R205" s="281" t="s">
        <v>36</v>
      </c>
    </row>
    <row r="206" spans="2:18" ht="12" customHeight="1" x14ac:dyDescent="0.25">
      <c r="B206" s="277">
        <v>200</v>
      </c>
      <c r="C206" s="210" t="s">
        <v>126</v>
      </c>
      <c r="D206" s="202" t="s">
        <v>127</v>
      </c>
      <c r="E206" s="16">
        <v>976796739</v>
      </c>
      <c r="F206" s="16">
        <v>976796729</v>
      </c>
      <c r="G206" s="35" t="s">
        <v>691</v>
      </c>
      <c r="H206" s="1" t="s">
        <v>39</v>
      </c>
      <c r="I206" s="1" t="s">
        <v>60</v>
      </c>
      <c r="J206" s="1">
        <v>540</v>
      </c>
      <c r="K206" s="18" t="s">
        <v>54</v>
      </c>
      <c r="L206" s="13" t="s">
        <v>380</v>
      </c>
      <c r="M206" s="40">
        <v>45582</v>
      </c>
      <c r="N206" s="40">
        <f t="shared" ca="1" si="20"/>
        <v>45960</v>
      </c>
      <c r="O206" s="30">
        <f t="shared" ca="1" si="18"/>
        <v>1.0356164383561643</v>
      </c>
      <c r="P206" s="13" t="s">
        <v>36</v>
      </c>
      <c r="Q206" s="30">
        <f t="shared" ca="1" si="19"/>
        <v>1.0356164383561643</v>
      </c>
      <c r="R206" s="281" t="s">
        <v>36</v>
      </c>
    </row>
    <row r="207" spans="2:18" ht="12" customHeight="1" x14ac:dyDescent="0.25">
      <c r="B207" s="279"/>
      <c r="C207" s="273"/>
      <c r="D207" s="36"/>
      <c r="E207" s="36"/>
      <c r="F207" s="36"/>
      <c r="G207" s="219"/>
      <c r="H207" s="253"/>
      <c r="I207" s="253"/>
      <c r="J207" s="253"/>
      <c r="K207" s="36"/>
      <c r="L207" s="253"/>
      <c r="M207" s="254"/>
      <c r="N207" s="254"/>
      <c r="O207" s="274"/>
      <c r="P207" s="253"/>
      <c r="Q207" s="36"/>
      <c r="R207" s="285"/>
    </row>
    <row r="210" spans="3:14" s="27" customFormat="1" x14ac:dyDescent="0.25">
      <c r="C210" s="217"/>
      <c r="D210" s="209"/>
      <c r="E210" s="209"/>
      <c r="F210" s="209"/>
      <c r="G210" s="209"/>
      <c r="J210" s="43"/>
      <c r="K210" s="43"/>
      <c r="L210" s="43"/>
      <c r="M210" s="43"/>
      <c r="N210" s="43"/>
    </row>
    <row r="219" spans="3:14" x14ac:dyDescent="0.25">
      <c r="E219" s="39" t="s">
        <v>3</v>
      </c>
    </row>
    <row r="241" spans="7:7" ht="14.4" x14ac:dyDescent="0.25">
      <c r="G241" s="222"/>
    </row>
  </sheetData>
  <mergeCells count="3">
    <mergeCell ref="C2:G4"/>
    <mergeCell ref="N2:R4"/>
    <mergeCell ref="B2:B4"/>
  </mergeCells>
  <conditionalFormatting sqref="L7:L207">
    <cfRule type="containsText" dxfId="5" priority="24" operator="containsText" text="ENTREGADO">
      <formula>NOT(ISERROR(SEARCH("ENTREGADO",L7)))</formula>
    </cfRule>
    <cfRule type="containsText" dxfId="4" priority="25" operator="containsText" text="PENDIENTE">
      <formula>NOT(ISERROR(SEARCH("PENDIENTE",L7)))</formula>
    </cfRule>
  </conditionalFormatting>
  <conditionalFormatting sqref="P7:P206">
    <cfRule type="containsText" dxfId="3" priority="10" operator="containsText" text="VIGENTE">
      <formula>NOT(ISERROR(SEARCH("VIGENTE",P7)))</formula>
    </cfRule>
  </conditionalFormatting>
  <conditionalFormatting sqref="R7:R150">
    <cfRule type="containsText" dxfId="2" priority="5" operator="containsText" text="VIGENTE">
      <formula>NOT(ISERROR(SEARCH("VIGENTE",R7)))</formula>
    </cfRule>
  </conditionalFormatting>
  <conditionalFormatting sqref="R152:R190">
    <cfRule type="containsText" dxfId="1" priority="2" operator="containsText" text="VIGENTE">
      <formula>NOT(ISERROR(SEARCH("VIGENTE",R152)))</formula>
    </cfRule>
  </conditionalFormatting>
  <conditionalFormatting sqref="R192:R206">
    <cfRule type="containsText" dxfId="0" priority="1" operator="containsText" text="VIGENTE">
      <formula>NOT(ISERROR(SEARCH("VIGENTE",R192)))</formula>
    </cfRule>
  </conditionalFormatting>
  <hyperlinks>
    <hyperlink ref="G11" r:id="rId1" xr:uid="{85804FA7-3059-42C9-BE94-468210D02E83}"/>
    <hyperlink ref="G20" r:id="rId2" xr:uid="{ABB3DB61-CEC8-46CA-B59A-61B2654A25B1}"/>
    <hyperlink ref="G21" r:id="rId3" xr:uid="{F17080DB-65FF-4653-A493-FC1B87036DE7}"/>
    <hyperlink ref="G22" r:id="rId4" xr:uid="{7D1AC6D4-8820-4F44-B3FD-B8123E5597BD}"/>
    <hyperlink ref="G23" r:id="rId5" xr:uid="{8C17F1E4-D413-4F2B-9ED5-DAB3717BFC76}"/>
    <hyperlink ref="G24" r:id="rId6" xr:uid="{E44E6140-D84E-42CB-A51E-EE0B8C68EC19}"/>
    <hyperlink ref="G29" r:id="rId7" xr:uid="{221EDB69-F6A5-44CB-BFD8-8DEF05408546}"/>
    <hyperlink ref="G33" r:id="rId8" xr:uid="{1C1F6A34-1AC3-4AB8-8B85-80417BB09A2B}"/>
    <hyperlink ref="G35" r:id="rId9" xr:uid="{1E04C6E5-A14D-41C8-A170-8F58A48F6307}"/>
    <hyperlink ref="G36" r:id="rId10" xr:uid="{5B6A0653-12AF-43FB-963A-971AF8E09E78}"/>
    <hyperlink ref="G37" r:id="rId11" xr:uid="{C006B33C-3E65-4C35-9658-262982A3286D}"/>
    <hyperlink ref="G38" r:id="rId12" xr:uid="{3490C61C-846A-451C-9E82-AEDC3088F9F3}"/>
    <hyperlink ref="G41" r:id="rId13" xr:uid="{DB8EB9AC-717A-4F3A-846A-70D422D25AA2}"/>
    <hyperlink ref="G43" r:id="rId14" xr:uid="{37186272-E311-42A9-968D-39FF2C63B852}"/>
    <hyperlink ref="G44" r:id="rId15" xr:uid="{87676E31-377F-405C-A625-189CD6831253}"/>
    <hyperlink ref="G45" r:id="rId16" xr:uid="{D90C36A0-E5A9-47DD-A25D-51E147C705A9}"/>
    <hyperlink ref="G48" r:id="rId17" xr:uid="{92310297-E31A-4D19-B523-1424F7F7E5FF}"/>
    <hyperlink ref="G53" r:id="rId18" xr:uid="{36AE0BE3-DF4C-4AFC-9254-4DC1433118EA}"/>
    <hyperlink ref="G54" r:id="rId19" xr:uid="{29AA3199-D187-4544-A5F0-5C9FB83049AC}"/>
    <hyperlink ref="G55" r:id="rId20" xr:uid="{2AE2D790-BD0C-4684-B2A7-95B1C7B9ADD2}"/>
    <hyperlink ref="G56" r:id="rId21" xr:uid="{3DC39ACF-8DAB-4AC8-A4E8-9DEAF4DF6946}"/>
    <hyperlink ref="G58" r:id="rId22" xr:uid="{B0D20D81-FF74-46DE-8ECB-4203587FDC90}"/>
    <hyperlink ref="G59" r:id="rId23" xr:uid="{AF8B3EB5-D29D-4AEE-B467-EC6F0064BC1D}"/>
    <hyperlink ref="G60" r:id="rId24" xr:uid="{0F27FB76-9B1A-4716-B703-6DCC8C807721}"/>
    <hyperlink ref="G61" r:id="rId25" xr:uid="{1FB96EE3-44B3-486C-A86E-8BA1DD3B2999}"/>
    <hyperlink ref="G62" r:id="rId26" xr:uid="{BC041787-313C-4B6F-9783-1DD6466F36AD}"/>
    <hyperlink ref="G63" r:id="rId27" xr:uid="{1283CAE5-DEC5-4571-8701-AC5960A6698B}"/>
    <hyperlink ref="G64" r:id="rId28" xr:uid="{DFF38BC5-0B5B-4175-ADCE-9A25EAA6B65E}"/>
    <hyperlink ref="G65" r:id="rId29" xr:uid="{C530AF71-45A6-4ECC-ADCE-1EC876C5A34A}"/>
    <hyperlink ref="G66" r:id="rId30" xr:uid="{6CDCA3F4-F319-44DC-AD7A-E16C8CAEC70F}"/>
    <hyperlink ref="G69" r:id="rId31" xr:uid="{6D399E8D-C6CB-4019-90D6-91A2BFF161F3}"/>
    <hyperlink ref="G71" r:id="rId32" xr:uid="{E4B1CD88-C8D7-46F8-8028-8CF033AFD0C2}"/>
    <hyperlink ref="G73" r:id="rId33" xr:uid="{4BF2BF8D-ECD6-4A29-B604-22C7C18F3831}"/>
    <hyperlink ref="G74" r:id="rId34" xr:uid="{2547FAC1-DD1D-4C4F-8AFF-2648924BC74B}"/>
    <hyperlink ref="G75" r:id="rId35" xr:uid="{161B6028-EACF-4B41-909F-8DD6ADB872D3}"/>
    <hyperlink ref="G76" r:id="rId36" xr:uid="{6EAF4246-3821-44F7-B683-9D76E53B87E3}"/>
    <hyperlink ref="G77" r:id="rId37" xr:uid="{ACDF645F-E1F5-48FE-8A7A-54221D7C7C59}"/>
    <hyperlink ref="G78" r:id="rId38" xr:uid="{6F79BB08-047E-4600-9314-0220C605FF5C}"/>
    <hyperlink ref="G79" r:id="rId39" xr:uid="{DA6D4447-413D-4E94-9068-B54D8EB30407}"/>
    <hyperlink ref="G81" r:id="rId40" xr:uid="{A1093314-5934-47DB-9D0F-68D20C79AF3C}"/>
    <hyperlink ref="G82" r:id="rId41" xr:uid="{A3A03CCE-697E-44DD-8788-C9D89E1ECCF5}"/>
    <hyperlink ref="G83" r:id="rId42" xr:uid="{E89818E0-E0F8-410E-B581-9626703B3419}"/>
    <hyperlink ref="G84" r:id="rId43" xr:uid="{A585388A-8D46-4698-BEDC-7F89FBCF3793}"/>
    <hyperlink ref="G85" r:id="rId44" xr:uid="{D13F2CE9-9F94-4044-8084-D84883CA2B2B}"/>
    <hyperlink ref="G106" r:id="rId45" xr:uid="{30DB0C91-CBC7-41B3-8A6D-75398579770E}"/>
    <hyperlink ref="G103" r:id="rId46" xr:uid="{DAAE68E8-0F21-4259-9C52-8F560545C406}"/>
    <hyperlink ref="G182" r:id="rId47" xr:uid="{D77DF9F6-F47B-4744-AE90-FA3FC5CDCA85}"/>
    <hyperlink ref="G124" r:id="rId48" xr:uid="{3EF9FA33-FEA7-4AA0-A245-445219FF2127}"/>
    <hyperlink ref="G146" r:id="rId49" xr:uid="{CD8F52E9-2D6F-4A9F-AB1E-949B18398031}"/>
    <hyperlink ref="G109" r:id="rId50" xr:uid="{B54A87B7-69A6-436A-A7E5-921E373B9270}"/>
    <hyperlink ref="G104" r:id="rId51" xr:uid="{6DBD2B84-D6E4-4FC2-91ED-119D212B4CE0}"/>
    <hyperlink ref="G115" r:id="rId52" xr:uid="{9951BD1C-F063-4170-8155-C8A677C12BC3}"/>
    <hyperlink ref="G123" r:id="rId53" xr:uid="{7742ED6C-A459-4A5F-9801-0D450E563529}"/>
    <hyperlink ref="G121" r:id="rId54" xr:uid="{7F5DCB0C-C634-4C2F-9D0E-B4BF9E3AAE43}"/>
    <hyperlink ref="G86" r:id="rId55" xr:uid="{4C1E0805-0D16-4E34-A35F-56C3D6660900}"/>
    <hyperlink ref="G117" r:id="rId56" xr:uid="{32C3270E-B855-4FC9-B6C3-A365770968CD}"/>
    <hyperlink ref="G153" r:id="rId57" xr:uid="{B6C3E57A-A127-47AC-8984-8D6DFA9AFA4D}"/>
    <hyperlink ref="G125" r:id="rId58" xr:uid="{CFC46E2C-51F6-492B-AEA7-03AEA5104856}"/>
    <hyperlink ref="G110" r:id="rId59" xr:uid="{B185A502-841E-408B-AB58-8D4A5208160B}"/>
    <hyperlink ref="G160" r:id="rId60" xr:uid="{1D16B6A7-7CEF-49D2-9683-AC69EA11EA8E}"/>
    <hyperlink ref="G118" r:id="rId61" xr:uid="{A189FC3F-2544-48E6-B2E6-9A3910FFCA0D}"/>
    <hyperlink ref="G155" r:id="rId62" xr:uid="{401AF453-DB37-4BFE-924E-713F820260B1}"/>
    <hyperlink ref="G99" r:id="rId63" xr:uid="{7FEC9F62-3989-406F-B57F-B69AD6E729A6}"/>
    <hyperlink ref="G105" r:id="rId64" xr:uid="{78BF1C49-F2B2-48D9-89C5-34BE611A3D50}"/>
    <hyperlink ref="G149" r:id="rId65" xr:uid="{0B5911C9-7752-45C1-8C99-DFA4939224EC}"/>
    <hyperlink ref="G126" r:id="rId66" xr:uid="{A481CC7D-8B2E-450D-9550-8016B713D268}"/>
    <hyperlink ref="G164" r:id="rId67" xr:uid="{6BE77916-658F-48FF-803C-C2B9641EB6FF}"/>
    <hyperlink ref="G142" r:id="rId68" xr:uid="{CE7D89EA-6FFA-48E0-B6D5-40274E76A246}"/>
    <hyperlink ref="G196" r:id="rId69" xr:uid="{6E3CB034-6A04-4E5F-A9A0-2BA86EA0B16A}"/>
    <hyperlink ref="G96" r:id="rId70" xr:uid="{499380B3-022D-4CB1-8BFE-56F962B8200E}"/>
    <hyperlink ref="G156" r:id="rId71" xr:uid="{66425679-2FAF-49AD-8DEC-E0B288EC9AEA}"/>
    <hyperlink ref="G100" r:id="rId72" xr:uid="{AE577D24-185E-4F4A-8436-6B89BED5FA58}"/>
    <hyperlink ref="G198" r:id="rId73" xr:uid="{F12FE55E-E617-45D3-8A46-D50148246577}"/>
    <hyperlink ref="G143" r:id="rId74" xr:uid="{B58CCC74-98DC-4CD2-91AE-6CE6C7BC08B5}"/>
    <hyperlink ref="G197" r:id="rId75" xr:uid="{5EAAB1B0-F8E8-49B0-BF31-BE8E7A350587}"/>
    <hyperlink ref="G139" r:id="rId76" xr:uid="{1819C703-A0DF-4522-B18A-FB70EF231D21}"/>
    <hyperlink ref="G162" r:id="rId77" xr:uid="{36CA8A40-7229-460A-91F9-A16DFE2C9181}"/>
    <hyperlink ref="G166" r:id="rId78" xr:uid="{ADA6F0BE-EEF8-41F3-AF06-8FD4DA0E3C2E}"/>
    <hyperlink ref="G183" r:id="rId79" xr:uid="{46F63F69-2BC3-46F5-B87C-F0830E2CA6DB}"/>
    <hyperlink ref="G158" r:id="rId80" xr:uid="{949DB9FE-8041-49C9-BA6C-70E9D2306F60}"/>
    <hyperlink ref="G186" r:id="rId81" xr:uid="{9C5A6E3B-083A-4759-A7DC-28DA7C9ED896}"/>
    <hyperlink ref="G165" r:id="rId82" xr:uid="{6C2ECC5D-5114-4845-822F-2666AA94EA66}"/>
    <hyperlink ref="G180" r:id="rId83" xr:uid="{C17CCD50-9A8A-4251-81ED-AEECA505D966}"/>
    <hyperlink ref="G145" r:id="rId84" xr:uid="{98732B11-FFFC-4D8D-BA1D-6FA1CB183938}"/>
    <hyperlink ref="G157" r:id="rId85" xr:uid="{12714568-C082-48B5-9A8D-307D740F4F5F}"/>
    <hyperlink ref="G195" r:id="rId86" xr:uid="{D50033A0-D434-40D0-A097-1CE3E962CA15}"/>
    <hyperlink ref="G205" r:id="rId87" xr:uid="{89FECCB6-273D-40CF-9452-D2D4C88CD914}"/>
    <hyperlink ref="G176" r:id="rId88" xr:uid="{D16BA5B3-3010-4E47-8DC4-EE8B136ECE27}"/>
    <hyperlink ref="G181" r:id="rId89" xr:uid="{65376974-37DB-4974-A5CC-B53D8C114219}"/>
    <hyperlink ref="G184" r:id="rId90" xr:uid="{58A5D298-6CB5-4AD8-B00C-24D88E787D89}"/>
    <hyperlink ref="G206" r:id="rId91" xr:uid="{E7AAB171-BEDB-44C8-B895-28B4D05DA5B0}"/>
    <hyperlink ref="G179" r:id="rId92" xr:uid="{AC2DFE6F-6654-4911-8C94-D8860E56001D}"/>
    <hyperlink ref="G136" r:id="rId93" xr:uid="{AE6C0509-4C70-43E5-928D-501E5A667E4C}"/>
    <hyperlink ref="G140" r:id="rId94" xr:uid="{C8977A9B-0787-4C04-A64E-3ADD7DEC7B0B}"/>
    <hyperlink ref="G141" r:id="rId95" xr:uid="{FA9AD576-23B3-44B1-8FA8-DE446ECB9172}"/>
    <hyperlink ref="G173" r:id="rId96" xr:uid="{B89CE0F7-F9FB-4E73-B6FA-50050E7E6455}"/>
    <hyperlink ref="G133" r:id="rId97" xr:uid="{38751AE6-85B1-4424-94D4-89E8D6FACF9E}"/>
    <hyperlink ref="G204" r:id="rId98" xr:uid="{AEB35861-9E73-49AD-887E-DBB97E9881B9}"/>
    <hyperlink ref="G201" r:id="rId99" xr:uid="{0BC4E101-D6E3-444F-BF47-09F2EB985FA9}"/>
    <hyperlink ref="G122" r:id="rId100" xr:uid="{37C72FC3-769C-4166-83A5-CF5981AA4456}"/>
    <hyperlink ref="G144" r:id="rId101" xr:uid="{7A57CFE1-CE68-486C-BB94-E892EA39ED49}"/>
    <hyperlink ref="G189" r:id="rId102" xr:uid="{2E9C3468-2DC7-4E91-8489-A021C083E9DA}"/>
    <hyperlink ref="G168" r:id="rId103" xr:uid="{AD8EA02B-8516-4858-965B-EFD1D2273ADE}"/>
    <hyperlink ref="G88" r:id="rId104" xr:uid="{4EB875B1-5A33-4559-8981-1E5C126ADB01}"/>
    <hyperlink ref="G93" r:id="rId105" xr:uid="{DA487652-BCAA-4B33-AF9C-AAB4BC8312A9}"/>
    <hyperlink ref="G202" r:id="rId106" xr:uid="{6E68FCA5-55DF-4FE2-B460-7658485B8C27}"/>
    <hyperlink ref="G128" r:id="rId107" xr:uid="{A1720CD5-4A4A-47E0-AD7C-CFA72BB3896F}"/>
    <hyperlink ref="G163" r:id="rId108" xr:uid="{2A5E29B5-A843-4E89-B011-FD18F69C28AA}"/>
    <hyperlink ref="G203" r:id="rId109" xr:uid="{06C271E9-BCC0-48CA-8B53-E1F12BFE494C}"/>
    <hyperlink ref="G161" r:id="rId110" xr:uid="{A97FAFAD-F613-43F1-AA3E-D8A76A933E9D}"/>
    <hyperlink ref="G193" r:id="rId111" xr:uid="{841F9B1A-A50C-47A4-88DE-A24E0E3BAA55}"/>
    <hyperlink ref="G159" r:id="rId112" xr:uid="{DB17C93C-A947-451C-BEAC-E4E9B52DE4CB}"/>
    <hyperlink ref="G87" r:id="rId113" xr:uid="{6C83A651-9F2B-4D9D-90FA-AA82018F45D7}"/>
    <hyperlink ref="G174" r:id="rId114" xr:uid="{6F252251-8011-48E7-B32A-BA7FB8093004}"/>
    <hyperlink ref="G107" r:id="rId115" xr:uid="{7E4313BB-8546-4085-B6BE-4B48212ED28F}"/>
    <hyperlink ref="G114" r:id="rId116" xr:uid="{BAC3DC8C-08D4-42AE-91B5-D02BAC8FE305}"/>
    <hyperlink ref="G132" r:id="rId117" xr:uid="{8EE03783-C411-455C-95F5-F466427A7037}"/>
    <hyperlink ref="G116" r:id="rId118" xr:uid="{50404525-4A46-4598-BE18-BFAE99F8ABCB}"/>
    <hyperlink ref="G94" r:id="rId119" xr:uid="{5527272C-203A-4DE5-A869-F7D56950697E}"/>
    <hyperlink ref="G98" r:id="rId120" xr:uid="{22DA97D6-D959-4CAE-BF8B-3EAAEC8A1F03}"/>
    <hyperlink ref="G95" r:id="rId121" xr:uid="{FA9BE509-FDA6-42DA-8ABA-E0C658129BA6}"/>
    <hyperlink ref="G70" r:id="rId122" xr:uid="{73753761-4444-4870-85F9-8432B16244ED}"/>
    <hyperlink ref="G134" r:id="rId123" xr:uid="{F4EB734B-FE24-4F66-86B2-096054442B91}"/>
    <hyperlink ref="G112" r:id="rId124" xr:uid="{5B4B6E21-95EC-4ED9-95EA-C3486A602117}"/>
    <hyperlink ref="G113" r:id="rId125" xr:uid="{0B890273-F498-4BB8-A78C-245E20A96542}"/>
    <hyperlink ref="G49" r:id="rId126" xr:uid="{38B9ECA2-46B5-4770-9589-116315F2E51C}"/>
    <hyperlink ref="G72" r:id="rId127" xr:uid="{A28CDB76-D64F-4997-813B-0883FF77C590}"/>
    <hyperlink ref="G199" r:id="rId128" xr:uid="{EACD820C-2BD5-4AEC-ABCE-C339DB474F61}"/>
    <hyperlink ref="G7" r:id="rId129" xr:uid="{68832CDE-36FE-4832-B2CB-A57D3F49FD90}"/>
    <hyperlink ref="G40" r:id="rId130" xr:uid="{1B1F52EF-9DCD-4A18-B9CC-B80396037F3B}"/>
    <hyperlink ref="G131" r:id="rId131" xr:uid="{995766FA-03C4-4D57-8A00-ED9B6B1D08F6}"/>
    <hyperlink ref="G135" r:id="rId132" xr:uid="{316D46AD-C52D-4DF4-8969-0B8A7FD69094}"/>
    <hyperlink ref="G47" r:id="rId133" xr:uid="{CA2420B7-27F9-4E08-88F3-F16F89CC7664}"/>
    <hyperlink ref="G17" r:id="rId134" xr:uid="{AF2126F2-EEB3-46AC-837E-295E255ED446}"/>
    <hyperlink ref="G154" r:id="rId135" xr:uid="{4D8302FD-3432-4923-B512-93166B6A2733}"/>
    <hyperlink ref="G18" r:id="rId136" xr:uid="{AC003AE4-321E-46D9-88E6-170FD78F34AC}"/>
    <hyperlink ref="G30" r:id="rId137" xr:uid="{05424D1C-7194-46C9-9B47-BE6515566547}"/>
    <hyperlink ref="G25" r:id="rId138" xr:uid="{2DA9CF5A-F044-4391-9F26-6A4E4A516F1F}"/>
    <hyperlink ref="G46" r:id="rId139" xr:uid="{7BA50F72-92CE-4E30-96EC-0A18BF2E76EC}"/>
    <hyperlink ref="G51" r:id="rId140" xr:uid="{EEBE0FEE-D6D1-428B-852A-68FC196DEEB0}"/>
    <hyperlink ref="G127" r:id="rId141" xr:uid="{DD0DD8C9-0179-44A5-A29F-7E2F434A349D}"/>
    <hyperlink ref="G108" r:id="rId142" xr:uid="{52A38804-E432-4071-8824-837101FD7152}"/>
    <hyperlink ref="G130" r:id="rId143" xr:uid="{5FC33987-51BB-4BA4-ACCA-4AB879DA6A9E}"/>
    <hyperlink ref="G137" r:id="rId144" xr:uid="{44F8FEA5-6487-4AE8-9FCB-EC732EE7EC8C}"/>
    <hyperlink ref="G187" r:id="rId145" xr:uid="{306B47DC-1539-4967-9FD5-94BE9AA1CA39}"/>
    <hyperlink ref="G169" r:id="rId146" xr:uid="{4F7155FE-D5B8-4C63-9493-6AC3364754C8}"/>
    <hyperlink ref="G97" r:id="rId147" xr:uid="{9EF32AAD-597A-4AC3-90B5-6E35EE930E1D}"/>
    <hyperlink ref="G102" r:id="rId148" xr:uid="{952589EF-2D07-46E0-A327-469F19BF4ED4}"/>
    <hyperlink ref="G150" r:id="rId149" xr:uid="{9B3D1C4A-39E6-4958-A2F7-97994C5A410B}"/>
    <hyperlink ref="G190" r:id="rId150" xr:uid="{F84FC9DA-4385-4534-8295-2EAC5239F17E}"/>
    <hyperlink ref="G152" r:id="rId151" xr:uid="{DFD45A4A-7FC7-4D44-A85A-87951E04C250}"/>
    <hyperlink ref="G89" r:id="rId152" xr:uid="{CE687F31-0705-495D-B5F7-46421A108692}"/>
    <hyperlink ref="G167" r:id="rId153" xr:uid="{16340DE8-7528-45C0-847A-AB7574A4FEDD}"/>
    <hyperlink ref="G57" r:id="rId154" xr:uid="{6C96A994-EC3A-48DC-8AFD-D75A1AB82ED5}"/>
    <hyperlink ref="G129" r:id="rId155" xr:uid="{930A496D-41AD-42B0-9FDE-64ECB0323CA6}"/>
    <hyperlink ref="G27" r:id="rId156" xr:uid="{DEA9E660-ED5D-4D50-960B-CF41F61EF7ED}"/>
    <hyperlink ref="G32" r:id="rId157" xr:uid="{F69B2EDA-2B42-463B-8DC6-31960BD9337C}"/>
    <hyperlink ref="G8" r:id="rId158" xr:uid="{360041CF-5A71-4B2C-A1DB-9321DCEDDDF3}"/>
    <hyperlink ref="G175" r:id="rId159" xr:uid="{8B25A8EF-0599-45D9-9ECE-A94A1D7717F3}"/>
    <hyperlink ref="G192" r:id="rId160" xr:uid="{C767068E-6121-4700-A465-20B0E4D785AC}"/>
    <hyperlink ref="G12" r:id="rId161" xr:uid="{1AE6E0CC-F604-493F-9803-C51E8A306B16}"/>
    <hyperlink ref="G188" r:id="rId162" xr:uid="{9F334E46-29A9-4ACA-8DB3-F83469C8A045}"/>
    <hyperlink ref="G171" r:id="rId163" xr:uid="{9C8DC95D-1986-4D60-8CAD-05B7A44E0C82}"/>
    <hyperlink ref="G200" r:id="rId164" xr:uid="{DBD21921-09CD-4C3F-8347-E3324F697EF4}"/>
    <hyperlink ref="G111" r:id="rId165" xr:uid="{2FFAFB2B-D39F-4880-B4AA-E56D8025FFA0}"/>
    <hyperlink ref="G31" r:id="rId166" xr:uid="{A387D356-AD1F-4FE9-B0A1-296099A971F5}"/>
    <hyperlink ref="G194" r:id="rId167" xr:uid="{D3862701-3F3D-4D6D-A2DA-8860D18852E8}"/>
    <hyperlink ref="G148" r:id="rId168" xr:uid="{AF276415-8FD0-4A4C-AC36-26D2F1C73791}"/>
    <hyperlink ref="G15" r:id="rId169" xr:uid="{9ED43EA5-492D-4169-8653-66E32CBABDD4}"/>
    <hyperlink ref="G9" r:id="rId170" xr:uid="{985F4DF5-BCF1-4066-AEA7-6AF237D5566D}"/>
    <hyperlink ref="G28" r:id="rId171" xr:uid="{8A18CE61-700B-4DF7-8A0D-57D1FD23B19D}"/>
    <hyperlink ref="G67" r:id="rId172" xr:uid="{725A632A-D69A-4308-BC2F-A4F62767D777}"/>
    <hyperlink ref="G119" r:id="rId173" xr:uid="{1AD5E7C1-77F6-4512-9B25-AB9CBC9DDCED}"/>
    <hyperlink ref="G42" r:id="rId174" xr:uid="{AD7B8F86-356D-431B-9E30-808791B5C505}"/>
    <hyperlink ref="G39" r:id="rId175" xr:uid="{910AFE9D-636A-4F3A-A071-961429CC6001}"/>
    <hyperlink ref="G34" r:id="rId176" xr:uid="{8EC741CA-A7C4-406F-81BF-03946700A59A}"/>
    <hyperlink ref="G170" r:id="rId177" xr:uid="{3781E9C7-F204-4972-AF39-C1694AFEEE9D}"/>
    <hyperlink ref="G178" r:id="rId178" xr:uid="{86C1B8FD-6B49-4E32-80EF-75EB7EFE9D48}"/>
    <hyperlink ref="G68" r:id="rId179" xr:uid="{50E14F8C-D5F7-4DFB-92EC-69404CF167E9}"/>
    <hyperlink ref="G147" r:id="rId180" xr:uid="{7EAE7306-28F5-4DBD-A90E-343852DB68EB}"/>
    <hyperlink ref="G172" r:id="rId181" xr:uid="{9D7560DE-28DC-46E1-B206-95992E643EC9}"/>
  </hyperlinks>
  <pageMargins left="0.7" right="0.7" top="0.75" bottom="0.75" header="0.3" footer="0.3"/>
  <drawing r:id="rId182"/>
  <tableParts count="1">
    <tablePart r:id="rId18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FDB6-D6C7-4CD5-BD60-51F7054E9D9E}">
  <sheetPr>
    <tabColor rgb="FFFF0000"/>
  </sheetPr>
  <dimension ref="A1:AM209"/>
  <sheetViews>
    <sheetView workbookViewId="0">
      <pane ySplit="7" topLeftCell="A8" activePane="bottomLeft" state="frozen"/>
      <selection pane="bottomLeft" activeCell="G49" sqref="G49"/>
    </sheetView>
  </sheetViews>
  <sheetFormatPr baseColWidth="10" defaultColWidth="8.88671875" defaultRowHeight="14.4" x14ac:dyDescent="0.3"/>
  <cols>
    <col min="2" max="2" width="13.44140625" customWidth="1"/>
    <col min="3" max="3" width="8.5546875" customWidth="1"/>
    <col min="4" max="4" width="13.6640625" customWidth="1"/>
    <col min="5" max="5" width="14.5546875" customWidth="1"/>
    <col min="6" max="6" width="11.6640625" customWidth="1"/>
    <col min="7" max="7" width="53.33203125" customWidth="1"/>
    <col min="8" max="8" width="11.6640625" customWidth="1"/>
    <col min="9" max="9" width="12.5546875" customWidth="1"/>
    <col min="11" max="11" width="15.88671875" customWidth="1"/>
    <col min="12" max="12" width="11.109375" customWidth="1"/>
    <col min="15" max="15" width="13.33203125" customWidth="1"/>
    <col min="16" max="16" width="79.109375" customWidth="1"/>
  </cols>
  <sheetData>
    <row r="1" spans="1:39" x14ac:dyDescent="0.3">
      <c r="A1" s="49" t="s">
        <v>38</v>
      </c>
      <c r="B1" s="49" t="s">
        <v>38</v>
      </c>
      <c r="C1" s="49" t="s">
        <v>38</v>
      </c>
      <c r="D1" s="49" t="s">
        <v>38</v>
      </c>
      <c r="E1" s="49" t="s">
        <v>38</v>
      </c>
      <c r="F1" s="49" t="s">
        <v>38</v>
      </c>
      <c r="G1" s="49"/>
      <c r="H1" s="49"/>
      <c r="I1" s="49" t="s">
        <v>38</v>
      </c>
      <c r="J1" s="49" t="s">
        <v>38</v>
      </c>
      <c r="K1" s="49" t="s">
        <v>38</v>
      </c>
      <c r="L1" s="49" t="s">
        <v>38</v>
      </c>
      <c r="M1" s="49" t="s">
        <v>38</v>
      </c>
      <c r="N1" s="49" t="s">
        <v>38</v>
      </c>
      <c r="O1" s="49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</row>
    <row r="2" spans="1:39" ht="15.6" x14ac:dyDescent="0.3">
      <c r="A2" s="49" t="s">
        <v>38</v>
      </c>
      <c r="B2" s="49" t="s">
        <v>38</v>
      </c>
      <c r="C2" s="49" t="s">
        <v>38</v>
      </c>
      <c r="D2" s="49" t="s">
        <v>38</v>
      </c>
      <c r="E2" s="49" t="s">
        <v>38</v>
      </c>
      <c r="F2" s="49" t="s">
        <v>38</v>
      </c>
      <c r="G2" s="49"/>
      <c r="H2" s="49"/>
      <c r="I2" s="49" t="s">
        <v>38</v>
      </c>
      <c r="J2" s="46"/>
      <c r="K2" s="46"/>
      <c r="L2" s="46"/>
      <c r="M2" s="46"/>
      <c r="N2" s="46"/>
      <c r="O2" s="4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</row>
    <row r="3" spans="1:39" ht="15.6" x14ac:dyDescent="0.3">
      <c r="A3" s="49" t="s">
        <v>38</v>
      </c>
      <c r="B3" s="163" t="s">
        <v>38</v>
      </c>
      <c r="C3" s="49" t="s">
        <v>38</v>
      </c>
      <c r="D3" s="49" t="s">
        <v>38</v>
      </c>
      <c r="E3" s="126" t="s">
        <v>380</v>
      </c>
      <c r="F3" s="123">
        <f>COUNTIF(F8:F460,"ENTREGADO")</f>
        <v>198</v>
      </c>
      <c r="G3" s="126" t="s">
        <v>692</v>
      </c>
      <c r="H3" s="158">
        <f>COUNTIF(G8:G460,"PENDIENTE ESCRITURACION")</f>
        <v>0</v>
      </c>
      <c r="I3" s="49" t="s">
        <v>38</v>
      </c>
      <c r="J3" s="46"/>
      <c r="K3" s="46"/>
      <c r="L3" s="46"/>
      <c r="M3" s="46"/>
      <c r="N3" s="46"/>
      <c r="O3" s="4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39" ht="15.75" customHeight="1" x14ac:dyDescent="0.3">
      <c r="A4" s="49" t="s">
        <v>38</v>
      </c>
      <c r="B4" s="163" t="s">
        <v>38</v>
      </c>
      <c r="C4" s="49" t="s">
        <v>38</v>
      </c>
      <c r="D4" s="49" t="s">
        <v>38</v>
      </c>
      <c r="E4" s="48" t="s">
        <v>694</v>
      </c>
      <c r="F4" s="124">
        <v>1</v>
      </c>
      <c r="G4" s="47"/>
      <c r="H4" s="47"/>
      <c r="I4" s="49" t="s">
        <v>38</v>
      </c>
      <c r="J4" s="323" t="s">
        <v>693</v>
      </c>
      <c r="K4" s="324"/>
      <c r="L4" s="324"/>
      <c r="M4" s="324"/>
      <c r="N4" s="324"/>
      <c r="O4" s="325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</row>
    <row r="5" spans="1:39" x14ac:dyDescent="0.3">
      <c r="A5" s="49" t="s">
        <v>38</v>
      </c>
      <c r="B5" s="163" t="s">
        <v>38</v>
      </c>
      <c r="C5" s="49" t="s">
        <v>38</v>
      </c>
      <c r="D5" s="49" t="s">
        <v>38</v>
      </c>
      <c r="E5" s="48" t="s">
        <v>2</v>
      </c>
      <c r="F5" s="125">
        <f>COUNTIF(F8:F462,"RECHAZADO")</f>
        <v>1</v>
      </c>
      <c r="G5" s="47"/>
      <c r="H5" s="47"/>
      <c r="I5" s="49" t="s">
        <v>38</v>
      </c>
      <c r="J5" s="326"/>
      <c r="K5" s="327"/>
      <c r="L5" s="327"/>
      <c r="M5" s="327"/>
      <c r="N5" s="327"/>
      <c r="O5" s="328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</row>
    <row r="6" spans="1:39" x14ac:dyDescent="0.3">
      <c r="A6" s="49" t="s">
        <v>38</v>
      </c>
      <c r="B6" s="49" t="s">
        <v>38</v>
      </c>
      <c r="C6" s="49" t="s">
        <v>38</v>
      </c>
      <c r="D6" s="49" t="s">
        <v>38</v>
      </c>
      <c r="E6" s="49" t="s">
        <v>38</v>
      </c>
      <c r="F6" s="49" t="s">
        <v>38</v>
      </c>
      <c r="G6" s="49"/>
      <c r="H6" s="49"/>
      <c r="I6" s="49" t="s">
        <v>38</v>
      </c>
      <c r="J6" s="163" t="s">
        <v>38</v>
      </c>
      <c r="K6" s="163" t="s">
        <v>38</v>
      </c>
      <c r="L6" s="163" t="s">
        <v>38</v>
      </c>
      <c r="M6" s="163" t="s">
        <v>38</v>
      </c>
      <c r="N6" s="163" t="s">
        <v>38</v>
      </c>
      <c r="O6" s="16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</row>
    <row r="7" spans="1:39" ht="24.75" customHeight="1" x14ac:dyDescent="0.3">
      <c r="A7" s="49" t="s">
        <v>38</v>
      </c>
      <c r="B7" s="54" t="s">
        <v>28</v>
      </c>
      <c r="C7" s="50" t="s">
        <v>44</v>
      </c>
      <c r="D7" s="50" t="s">
        <v>45</v>
      </c>
      <c r="E7" s="51" t="s">
        <v>46</v>
      </c>
      <c r="F7" s="52" t="s">
        <v>47</v>
      </c>
      <c r="G7" s="53" t="s">
        <v>695</v>
      </c>
      <c r="H7" s="53" t="s">
        <v>696</v>
      </c>
      <c r="I7" s="54" t="s">
        <v>376</v>
      </c>
      <c r="J7" s="55" t="s">
        <v>697</v>
      </c>
      <c r="K7" s="55" t="s">
        <v>698</v>
      </c>
      <c r="L7" s="55" t="s">
        <v>699</v>
      </c>
      <c r="M7" s="55" t="s">
        <v>15</v>
      </c>
      <c r="N7" s="56" t="s">
        <v>700</v>
      </c>
      <c r="O7" s="176" t="s">
        <v>47</v>
      </c>
      <c r="P7" s="57" t="s">
        <v>701</v>
      </c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</row>
    <row r="8" spans="1:39" x14ac:dyDescent="0.3">
      <c r="A8" s="44" t="s">
        <v>38</v>
      </c>
      <c r="B8" s="96" t="s">
        <v>34</v>
      </c>
      <c r="C8" s="66" t="s">
        <v>97</v>
      </c>
      <c r="D8" s="66">
        <v>101</v>
      </c>
      <c r="E8" s="133" t="s">
        <v>77</v>
      </c>
      <c r="F8" s="60" t="s">
        <v>380</v>
      </c>
      <c r="G8" s="121" t="s">
        <v>702</v>
      </c>
      <c r="H8" s="61"/>
      <c r="I8" s="143">
        <v>45789</v>
      </c>
      <c r="J8" s="169" t="s">
        <v>37</v>
      </c>
      <c r="K8" s="169" t="s">
        <v>37</v>
      </c>
      <c r="L8" s="169" t="s">
        <v>37</v>
      </c>
      <c r="M8" s="169" t="s">
        <v>37</v>
      </c>
      <c r="N8" s="114" t="s">
        <v>37</v>
      </c>
      <c r="O8" s="166"/>
      <c r="P8" s="6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x14ac:dyDescent="0.3">
      <c r="A9" s="49" t="s">
        <v>38</v>
      </c>
      <c r="B9" s="96" t="s">
        <v>34</v>
      </c>
      <c r="C9" s="98" t="s">
        <v>97</v>
      </c>
      <c r="D9" s="66">
        <v>102</v>
      </c>
      <c r="E9" s="67" t="s">
        <v>77</v>
      </c>
      <c r="F9" s="60" t="s">
        <v>380</v>
      </c>
      <c r="G9" s="121" t="s">
        <v>704</v>
      </c>
      <c r="H9" s="68"/>
      <c r="I9" s="167">
        <v>45877</v>
      </c>
      <c r="J9" s="85" t="s">
        <v>38</v>
      </c>
      <c r="K9" s="182" t="s">
        <v>37</v>
      </c>
      <c r="L9" s="182" t="s">
        <v>37</v>
      </c>
      <c r="M9" s="182" t="s">
        <v>37</v>
      </c>
      <c r="N9" s="174" t="s">
        <v>37</v>
      </c>
      <c r="O9" s="174" t="s">
        <v>37</v>
      </c>
      <c r="P9" s="168" t="s">
        <v>703</v>
      </c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</row>
    <row r="10" spans="1:39" x14ac:dyDescent="0.3">
      <c r="A10" s="49" t="s">
        <v>38</v>
      </c>
      <c r="B10" s="96" t="s">
        <v>34</v>
      </c>
      <c r="C10" s="98" t="s">
        <v>97</v>
      </c>
      <c r="D10" s="58">
        <v>103</v>
      </c>
      <c r="E10" s="127" t="s">
        <v>77</v>
      </c>
      <c r="F10" s="60" t="s">
        <v>380</v>
      </c>
      <c r="G10" s="121" t="s">
        <v>704</v>
      </c>
      <c r="H10" s="68"/>
      <c r="I10" s="240">
        <v>45911</v>
      </c>
      <c r="J10" s="85" t="s">
        <v>37</v>
      </c>
      <c r="K10" s="85" t="s">
        <v>37</v>
      </c>
      <c r="L10" s="85" t="s">
        <v>37</v>
      </c>
      <c r="M10" s="85" t="s">
        <v>37</v>
      </c>
      <c r="N10" s="71" t="s">
        <v>37</v>
      </c>
      <c r="O10" s="174" t="s">
        <v>35</v>
      </c>
      <c r="P10" s="168" t="s">
        <v>705</v>
      </c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</row>
    <row r="11" spans="1:39" x14ac:dyDescent="0.3">
      <c r="A11" s="44" t="s">
        <v>38</v>
      </c>
      <c r="B11" s="96" t="s">
        <v>34</v>
      </c>
      <c r="C11" s="66" t="s">
        <v>97</v>
      </c>
      <c r="D11" s="71">
        <v>104</v>
      </c>
      <c r="E11" s="138" t="s">
        <v>170</v>
      </c>
      <c r="F11" s="60" t="s">
        <v>380</v>
      </c>
      <c r="G11" s="120" t="s">
        <v>706</v>
      </c>
      <c r="H11" s="61"/>
      <c r="I11" s="143">
        <v>45582</v>
      </c>
      <c r="J11" s="146" t="s">
        <v>37</v>
      </c>
      <c r="K11" s="146" t="s">
        <v>37</v>
      </c>
      <c r="L11" s="146" t="s">
        <v>37</v>
      </c>
      <c r="M11" s="146" t="s">
        <v>37</v>
      </c>
      <c r="N11" s="172" t="s">
        <v>37</v>
      </c>
      <c r="O11" s="166"/>
      <c r="P11" s="6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x14ac:dyDescent="0.3">
      <c r="A12" s="44" t="s">
        <v>38</v>
      </c>
      <c r="B12" s="96" t="s">
        <v>34</v>
      </c>
      <c r="C12" s="66" t="s">
        <v>97</v>
      </c>
      <c r="D12" s="66">
        <v>105</v>
      </c>
      <c r="E12" s="157" t="s">
        <v>170</v>
      </c>
      <c r="F12" s="60" t="s">
        <v>380</v>
      </c>
      <c r="G12" s="120" t="s">
        <v>706</v>
      </c>
      <c r="H12" s="61"/>
      <c r="I12" s="72">
        <v>45582</v>
      </c>
      <c r="J12" s="170" t="s">
        <v>37</v>
      </c>
      <c r="K12" s="170" t="s">
        <v>37</v>
      </c>
      <c r="L12" s="170" t="s">
        <v>37</v>
      </c>
      <c r="M12" s="170" t="s">
        <v>37</v>
      </c>
      <c r="N12" s="114" t="s">
        <v>37</v>
      </c>
      <c r="O12" s="166"/>
      <c r="P12" s="6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x14ac:dyDescent="0.3">
      <c r="A13" s="49" t="s">
        <v>38</v>
      </c>
      <c r="B13" s="96" t="s">
        <v>34</v>
      </c>
      <c r="C13" s="98" t="s">
        <v>97</v>
      </c>
      <c r="D13" s="156">
        <v>106</v>
      </c>
      <c r="E13" s="155" t="s">
        <v>77</v>
      </c>
      <c r="F13" s="243" t="s">
        <v>380</v>
      </c>
      <c r="G13" s="120" t="s">
        <v>707</v>
      </c>
      <c r="H13" s="68"/>
      <c r="I13" s="167">
        <v>45894</v>
      </c>
      <c r="J13" s="85" t="s">
        <v>37</v>
      </c>
      <c r="K13" s="85"/>
      <c r="L13" s="85" t="s">
        <v>37</v>
      </c>
      <c r="M13" s="85" t="s">
        <v>37</v>
      </c>
      <c r="N13" s="71" t="s">
        <v>38</v>
      </c>
      <c r="O13" s="174"/>
      <c r="P13" s="168" t="s">
        <v>708</v>
      </c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</row>
    <row r="14" spans="1:39" x14ac:dyDescent="0.3">
      <c r="A14" s="44" t="s">
        <v>38</v>
      </c>
      <c r="B14" s="96" t="s">
        <v>34</v>
      </c>
      <c r="C14" s="66" t="s">
        <v>97</v>
      </c>
      <c r="D14" s="71">
        <v>107</v>
      </c>
      <c r="E14" s="128" t="s">
        <v>77</v>
      </c>
      <c r="F14" s="60" t="s">
        <v>380</v>
      </c>
      <c r="G14" s="120" t="s">
        <v>709</v>
      </c>
      <c r="H14" s="61"/>
      <c r="I14" s="143">
        <v>45824</v>
      </c>
      <c r="J14" s="146" t="s">
        <v>37</v>
      </c>
      <c r="K14" s="146" t="s">
        <v>37</v>
      </c>
      <c r="L14" s="146" t="s">
        <v>37</v>
      </c>
      <c r="M14" s="146" t="s">
        <v>37</v>
      </c>
      <c r="N14" s="172" t="s">
        <v>37</v>
      </c>
      <c r="O14" s="166"/>
      <c r="P14" s="6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3">
      <c r="A15" s="44" t="s">
        <v>38</v>
      </c>
      <c r="B15" s="96" t="s">
        <v>34</v>
      </c>
      <c r="C15" s="66" t="s">
        <v>97</v>
      </c>
      <c r="D15" s="71">
        <v>108</v>
      </c>
      <c r="E15" s="76" t="s">
        <v>77</v>
      </c>
      <c r="F15" s="60" t="s">
        <v>380</v>
      </c>
      <c r="G15" s="120" t="s">
        <v>710</v>
      </c>
      <c r="H15" s="61"/>
      <c r="I15" s="72">
        <v>45737</v>
      </c>
      <c r="J15" s="69" t="s">
        <v>37</v>
      </c>
      <c r="K15" s="69" t="s">
        <v>37</v>
      </c>
      <c r="L15" s="69" t="s">
        <v>37</v>
      </c>
      <c r="M15" s="69" t="s">
        <v>37</v>
      </c>
      <c r="N15" s="70" t="s">
        <v>37</v>
      </c>
      <c r="O15" s="166"/>
      <c r="P15" s="6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3">
      <c r="A16" s="49"/>
      <c r="B16" s="96" t="s">
        <v>34</v>
      </c>
      <c r="C16" s="66" t="s">
        <v>97</v>
      </c>
      <c r="D16" s="71">
        <v>201</v>
      </c>
      <c r="E16" s="76" t="s">
        <v>77</v>
      </c>
      <c r="F16" s="60" t="s">
        <v>380</v>
      </c>
      <c r="G16" s="120" t="s">
        <v>711</v>
      </c>
      <c r="H16" s="61"/>
      <c r="I16" s="72">
        <v>45814</v>
      </c>
      <c r="J16" s="69" t="s">
        <v>37</v>
      </c>
      <c r="K16" s="69" t="s">
        <v>37</v>
      </c>
      <c r="L16" s="69" t="s">
        <v>37</v>
      </c>
      <c r="M16" s="69" t="s">
        <v>37</v>
      </c>
      <c r="N16" s="70" t="s">
        <v>37</v>
      </c>
      <c r="O16" s="166"/>
      <c r="P16" s="6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x14ac:dyDescent="0.3">
      <c r="A17" s="44" t="s">
        <v>38</v>
      </c>
      <c r="B17" s="96" t="s">
        <v>34</v>
      </c>
      <c r="C17" s="66" t="s">
        <v>97</v>
      </c>
      <c r="D17" s="63">
        <v>202</v>
      </c>
      <c r="E17" s="154" t="s">
        <v>105</v>
      </c>
      <c r="F17" s="60" t="s">
        <v>380</v>
      </c>
      <c r="G17" s="120" t="s">
        <v>712</v>
      </c>
      <c r="H17" s="61"/>
      <c r="I17" s="72">
        <v>45594</v>
      </c>
      <c r="J17" s="69" t="s">
        <v>37</v>
      </c>
      <c r="K17" s="69" t="s">
        <v>37</v>
      </c>
      <c r="L17" s="69" t="s">
        <v>37</v>
      </c>
      <c r="M17" s="69" t="s">
        <v>37</v>
      </c>
      <c r="N17" s="70" t="s">
        <v>37</v>
      </c>
      <c r="O17" s="166"/>
      <c r="P17" s="6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x14ac:dyDescent="0.3">
      <c r="A18" s="44" t="s">
        <v>38</v>
      </c>
      <c r="B18" s="96" t="s">
        <v>34</v>
      </c>
      <c r="C18" s="66" t="s">
        <v>97</v>
      </c>
      <c r="D18" s="80">
        <v>203</v>
      </c>
      <c r="E18" s="129" t="s">
        <v>77</v>
      </c>
      <c r="F18" s="60" t="s">
        <v>380</v>
      </c>
      <c r="G18" s="120" t="s">
        <v>713</v>
      </c>
      <c r="H18" s="61"/>
      <c r="I18" s="72">
        <v>45803</v>
      </c>
      <c r="J18" s="69" t="s">
        <v>37</v>
      </c>
      <c r="K18" s="69" t="s">
        <v>37</v>
      </c>
      <c r="L18" s="69" t="s">
        <v>37</v>
      </c>
      <c r="M18" s="69" t="s">
        <v>37</v>
      </c>
      <c r="N18" s="70" t="s">
        <v>37</v>
      </c>
      <c r="O18" s="166"/>
      <c r="P18" s="6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x14ac:dyDescent="0.3">
      <c r="A19" s="44" t="s">
        <v>38</v>
      </c>
      <c r="B19" s="96" t="s">
        <v>34</v>
      </c>
      <c r="C19" s="66" t="s">
        <v>97</v>
      </c>
      <c r="D19" s="71">
        <v>204</v>
      </c>
      <c r="E19" s="75" t="s">
        <v>77</v>
      </c>
      <c r="F19" s="60" t="s">
        <v>380</v>
      </c>
      <c r="G19" s="120" t="s">
        <v>710</v>
      </c>
      <c r="H19" s="61"/>
      <c r="I19" s="72">
        <v>45737</v>
      </c>
      <c r="J19" s="69" t="s">
        <v>37</v>
      </c>
      <c r="K19" s="69" t="s">
        <v>37</v>
      </c>
      <c r="L19" s="69" t="s">
        <v>37</v>
      </c>
      <c r="M19" s="69" t="s">
        <v>37</v>
      </c>
      <c r="N19" s="70" t="s">
        <v>37</v>
      </c>
      <c r="O19" s="166"/>
      <c r="P19" s="6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</row>
    <row r="20" spans="1:39" x14ac:dyDescent="0.3">
      <c r="A20" s="44" t="s">
        <v>38</v>
      </c>
      <c r="B20" s="96" t="s">
        <v>34</v>
      </c>
      <c r="C20" s="66" t="s">
        <v>97</v>
      </c>
      <c r="D20" s="71">
        <v>205</v>
      </c>
      <c r="E20" s="128" t="s">
        <v>77</v>
      </c>
      <c r="F20" s="60" t="s">
        <v>380</v>
      </c>
      <c r="G20" s="120" t="s">
        <v>714</v>
      </c>
      <c r="H20" s="61"/>
      <c r="I20" s="72">
        <v>45820</v>
      </c>
      <c r="J20" s="69" t="s">
        <v>37</v>
      </c>
      <c r="K20" s="69" t="s">
        <v>37</v>
      </c>
      <c r="L20" s="69" t="s">
        <v>37</v>
      </c>
      <c r="M20" s="69" t="s">
        <v>37</v>
      </c>
      <c r="N20" s="70" t="s">
        <v>37</v>
      </c>
      <c r="O20" s="166"/>
      <c r="P20" s="6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3">
      <c r="A21" s="44" t="s">
        <v>38</v>
      </c>
      <c r="B21" s="96" t="s">
        <v>34</v>
      </c>
      <c r="C21" s="66" t="s">
        <v>97</v>
      </c>
      <c r="D21" s="71">
        <v>206</v>
      </c>
      <c r="E21" s="76" t="s">
        <v>77</v>
      </c>
      <c r="F21" s="60" t="s">
        <v>380</v>
      </c>
      <c r="G21" s="120" t="s">
        <v>715</v>
      </c>
      <c r="H21" s="61"/>
      <c r="I21" s="72">
        <v>45744</v>
      </c>
      <c r="J21" s="69" t="s">
        <v>37</v>
      </c>
      <c r="K21" s="69" t="s">
        <v>37</v>
      </c>
      <c r="L21" s="69" t="s">
        <v>37</v>
      </c>
      <c r="M21" s="69" t="s">
        <v>37</v>
      </c>
      <c r="N21" s="70" t="s">
        <v>37</v>
      </c>
      <c r="O21" s="166"/>
      <c r="P21" s="6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3">
      <c r="A22" s="44" t="s">
        <v>38</v>
      </c>
      <c r="B22" s="96" t="s">
        <v>34</v>
      </c>
      <c r="C22" s="66" t="s">
        <v>97</v>
      </c>
      <c r="D22" s="71">
        <v>207</v>
      </c>
      <c r="E22" s="89" t="s">
        <v>105</v>
      </c>
      <c r="F22" s="60" t="s">
        <v>380</v>
      </c>
      <c r="G22" s="120" t="s">
        <v>716</v>
      </c>
      <c r="H22" s="61"/>
      <c r="I22" s="72">
        <v>45594</v>
      </c>
      <c r="J22" s="69" t="s">
        <v>37</v>
      </c>
      <c r="K22" s="69" t="s">
        <v>37</v>
      </c>
      <c r="L22" s="69" t="s">
        <v>37</v>
      </c>
      <c r="M22" s="69" t="s">
        <v>37</v>
      </c>
      <c r="N22" s="70" t="s">
        <v>37</v>
      </c>
      <c r="O22" s="166"/>
      <c r="P22" s="6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3">
      <c r="A23" s="44" t="s">
        <v>38</v>
      </c>
      <c r="B23" s="96" t="s">
        <v>34</v>
      </c>
      <c r="C23" s="66" t="s">
        <v>97</v>
      </c>
      <c r="D23" s="71">
        <v>208</v>
      </c>
      <c r="E23" s="76" t="s">
        <v>77</v>
      </c>
      <c r="F23" s="60" t="s">
        <v>380</v>
      </c>
      <c r="G23" s="120" t="s">
        <v>717</v>
      </c>
      <c r="H23" s="61"/>
      <c r="I23" s="72">
        <v>45632</v>
      </c>
      <c r="J23" s="69" t="s">
        <v>37</v>
      </c>
      <c r="K23" s="69" t="s">
        <v>37</v>
      </c>
      <c r="L23" s="69" t="s">
        <v>37</v>
      </c>
      <c r="M23" s="69" t="s">
        <v>37</v>
      </c>
      <c r="N23" s="70" t="s">
        <v>37</v>
      </c>
      <c r="O23" s="166"/>
      <c r="P23" s="6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3">
      <c r="A24" s="44" t="s">
        <v>38</v>
      </c>
      <c r="B24" s="96" t="s">
        <v>34</v>
      </c>
      <c r="C24" s="66" t="s">
        <v>97</v>
      </c>
      <c r="D24" s="71">
        <v>301</v>
      </c>
      <c r="E24" s="128" t="s">
        <v>77</v>
      </c>
      <c r="F24" s="60" t="s">
        <v>380</v>
      </c>
      <c r="G24" s="120" t="s">
        <v>718</v>
      </c>
      <c r="H24" s="61"/>
      <c r="I24" s="143">
        <v>45590</v>
      </c>
      <c r="J24" s="146" t="s">
        <v>37</v>
      </c>
      <c r="K24" s="146" t="s">
        <v>37</v>
      </c>
      <c r="L24" s="146" t="s">
        <v>37</v>
      </c>
      <c r="M24" s="146" t="s">
        <v>37</v>
      </c>
      <c r="N24" s="70" t="s">
        <v>37</v>
      </c>
      <c r="O24" s="166"/>
      <c r="P24" s="6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3">
      <c r="A25" s="44" t="s">
        <v>38</v>
      </c>
      <c r="B25" s="96" t="s">
        <v>34</v>
      </c>
      <c r="C25" s="66" t="s">
        <v>97</v>
      </c>
      <c r="D25" s="71">
        <v>302</v>
      </c>
      <c r="E25" s="226" t="s">
        <v>105</v>
      </c>
      <c r="F25" s="60" t="s">
        <v>380</v>
      </c>
      <c r="G25" s="120" t="s">
        <v>719</v>
      </c>
      <c r="H25" s="61"/>
      <c r="I25" s="143">
        <v>45642</v>
      </c>
      <c r="J25" s="169" t="s">
        <v>37</v>
      </c>
      <c r="K25" s="169" t="s">
        <v>37</v>
      </c>
      <c r="L25" s="169" t="s">
        <v>37</v>
      </c>
      <c r="M25" s="169" t="s">
        <v>37</v>
      </c>
      <c r="N25" s="114" t="s">
        <v>37</v>
      </c>
      <c r="O25" s="166"/>
      <c r="P25" s="6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3">
      <c r="A26" s="49" t="s">
        <v>38</v>
      </c>
      <c r="B26" s="96" t="s">
        <v>34</v>
      </c>
      <c r="C26" s="98" t="s">
        <v>53</v>
      </c>
      <c r="D26" s="224">
        <v>121</v>
      </c>
      <c r="E26" s="155" t="s">
        <v>77</v>
      </c>
      <c r="F26" s="225" t="s">
        <v>380</v>
      </c>
      <c r="G26" s="120" t="s">
        <v>720</v>
      </c>
      <c r="H26" s="86"/>
      <c r="I26" s="167">
        <v>45870</v>
      </c>
      <c r="J26" s="178" t="s">
        <v>38</v>
      </c>
      <c r="K26" s="178" t="s">
        <v>721</v>
      </c>
      <c r="L26" s="178" t="s">
        <v>38</v>
      </c>
      <c r="M26" s="178" t="s">
        <v>38</v>
      </c>
      <c r="N26" s="177" t="s">
        <v>38</v>
      </c>
      <c r="O26" s="174" t="s">
        <v>722</v>
      </c>
      <c r="P26" s="168" t="s">
        <v>723</v>
      </c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</row>
    <row r="27" spans="1:39" x14ac:dyDescent="0.3">
      <c r="A27" s="44" t="s">
        <v>38</v>
      </c>
      <c r="B27" s="96" t="s">
        <v>34</v>
      </c>
      <c r="C27" s="66" t="s">
        <v>97</v>
      </c>
      <c r="D27" s="71">
        <v>304</v>
      </c>
      <c r="E27" s="183" t="s">
        <v>77</v>
      </c>
      <c r="F27" s="60" t="s">
        <v>380</v>
      </c>
      <c r="G27" s="120" t="s">
        <v>719</v>
      </c>
      <c r="H27" s="61"/>
      <c r="I27" s="143">
        <v>45671</v>
      </c>
      <c r="J27" s="146" t="s">
        <v>37</v>
      </c>
      <c r="K27" s="146" t="s">
        <v>37</v>
      </c>
      <c r="L27" s="146" t="s">
        <v>37</v>
      </c>
      <c r="M27" s="146" t="s">
        <v>37</v>
      </c>
      <c r="N27" s="172" t="s">
        <v>37</v>
      </c>
      <c r="O27" s="166"/>
      <c r="P27" s="6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3">
      <c r="A28" s="44" t="s">
        <v>38</v>
      </c>
      <c r="B28" s="96" t="s">
        <v>34</v>
      </c>
      <c r="C28" s="66" t="s">
        <v>97</v>
      </c>
      <c r="D28" s="87">
        <v>305</v>
      </c>
      <c r="E28" s="133" t="s">
        <v>77</v>
      </c>
      <c r="F28" s="60" t="s">
        <v>380</v>
      </c>
      <c r="G28" s="120" t="s">
        <v>710</v>
      </c>
      <c r="H28" s="61"/>
      <c r="I28" s="143">
        <v>45730</v>
      </c>
      <c r="J28" s="146" t="s">
        <v>37</v>
      </c>
      <c r="K28" s="146" t="s">
        <v>37</v>
      </c>
      <c r="L28" s="146" t="s">
        <v>37</v>
      </c>
      <c r="M28" s="146" t="s">
        <v>37</v>
      </c>
      <c r="N28" s="70" t="s">
        <v>37</v>
      </c>
      <c r="O28" s="166"/>
      <c r="P28" s="6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3">
      <c r="A29" s="44" t="s">
        <v>38</v>
      </c>
      <c r="B29" s="96" t="s">
        <v>34</v>
      </c>
      <c r="C29" s="66" t="s">
        <v>97</v>
      </c>
      <c r="D29" s="58">
        <v>306</v>
      </c>
      <c r="E29" s="59" t="s">
        <v>77</v>
      </c>
      <c r="F29" s="60" t="s">
        <v>380</v>
      </c>
      <c r="G29" s="120" t="s">
        <v>724</v>
      </c>
      <c r="H29" s="61"/>
      <c r="I29" s="62">
        <v>45729</v>
      </c>
      <c r="J29" s="63" t="s">
        <v>37</v>
      </c>
      <c r="K29" s="63" t="s">
        <v>37</v>
      </c>
      <c r="L29" s="63" t="s">
        <v>37</v>
      </c>
      <c r="M29" s="63" t="s">
        <v>37</v>
      </c>
      <c r="N29" s="64" t="s">
        <v>37</v>
      </c>
      <c r="O29" s="166"/>
      <c r="P29" s="6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3">
      <c r="A30" s="44" t="s">
        <v>38</v>
      </c>
      <c r="B30" s="96" t="s">
        <v>34</v>
      </c>
      <c r="C30" s="66" t="s">
        <v>97</v>
      </c>
      <c r="D30" s="58">
        <v>307</v>
      </c>
      <c r="E30" s="134" t="s">
        <v>105</v>
      </c>
      <c r="F30" s="60" t="s">
        <v>380</v>
      </c>
      <c r="G30" s="120" t="s">
        <v>725</v>
      </c>
      <c r="H30" s="61"/>
      <c r="I30" s="143">
        <v>45604</v>
      </c>
      <c r="J30" s="146" t="s">
        <v>37</v>
      </c>
      <c r="K30" s="146" t="s">
        <v>37</v>
      </c>
      <c r="L30" s="146" t="s">
        <v>37</v>
      </c>
      <c r="M30" s="146" t="s">
        <v>37</v>
      </c>
      <c r="N30" s="70" t="s">
        <v>37</v>
      </c>
      <c r="O30" s="166"/>
      <c r="P30" s="6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3">
      <c r="A31" s="44" t="s">
        <v>38</v>
      </c>
      <c r="B31" s="96" t="s">
        <v>34</v>
      </c>
      <c r="C31" s="66" t="s">
        <v>97</v>
      </c>
      <c r="D31" s="66">
        <v>308</v>
      </c>
      <c r="E31" s="133" t="s">
        <v>77</v>
      </c>
      <c r="F31" s="60" t="s">
        <v>380</v>
      </c>
      <c r="G31" s="120" t="s">
        <v>726</v>
      </c>
      <c r="H31" s="61"/>
      <c r="I31" s="143">
        <v>45594</v>
      </c>
      <c r="J31" s="146" t="s">
        <v>37</v>
      </c>
      <c r="K31" s="146" t="s">
        <v>37</v>
      </c>
      <c r="L31" s="146" t="s">
        <v>37</v>
      </c>
      <c r="M31" s="146" t="s">
        <v>37</v>
      </c>
      <c r="N31" s="70" t="s">
        <v>37</v>
      </c>
      <c r="O31" s="166"/>
      <c r="P31" s="6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3">
      <c r="A32" s="44" t="s">
        <v>38</v>
      </c>
      <c r="B32" s="96" t="s">
        <v>34</v>
      </c>
      <c r="C32" s="66" t="s">
        <v>97</v>
      </c>
      <c r="D32" s="66">
        <v>401</v>
      </c>
      <c r="E32" s="133" t="s">
        <v>77</v>
      </c>
      <c r="F32" s="60" t="s">
        <v>380</v>
      </c>
      <c r="G32" s="120" t="s">
        <v>727</v>
      </c>
      <c r="H32" s="61"/>
      <c r="I32" s="143">
        <v>45835</v>
      </c>
      <c r="J32" s="146" t="s">
        <v>37</v>
      </c>
      <c r="K32" s="146" t="s">
        <v>37</v>
      </c>
      <c r="L32" s="146" t="s">
        <v>37</v>
      </c>
      <c r="M32" s="146" t="s">
        <v>37</v>
      </c>
      <c r="N32" s="70" t="s">
        <v>37</v>
      </c>
      <c r="O32" s="166"/>
      <c r="P32" s="6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 x14ac:dyDescent="0.3">
      <c r="A33" s="44" t="s">
        <v>38</v>
      </c>
      <c r="B33" s="96" t="s">
        <v>34</v>
      </c>
      <c r="C33" s="66" t="s">
        <v>97</v>
      </c>
      <c r="D33" s="58">
        <v>402</v>
      </c>
      <c r="E33" s="88" t="s">
        <v>105</v>
      </c>
      <c r="F33" s="60" t="s">
        <v>380</v>
      </c>
      <c r="G33" s="120" t="s">
        <v>728</v>
      </c>
      <c r="H33" s="61"/>
      <c r="I33" s="62">
        <v>45604</v>
      </c>
      <c r="J33" s="63" t="s">
        <v>37</v>
      </c>
      <c r="K33" s="63" t="s">
        <v>37</v>
      </c>
      <c r="L33" s="63" t="s">
        <v>37</v>
      </c>
      <c r="M33" s="63" t="s">
        <v>37</v>
      </c>
      <c r="N33" s="64" t="s">
        <v>37</v>
      </c>
      <c r="O33" s="166"/>
      <c r="P33" s="6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1:39" x14ac:dyDescent="0.3">
      <c r="A34" s="44" t="s">
        <v>38</v>
      </c>
      <c r="B34" s="96" t="s">
        <v>34</v>
      </c>
      <c r="C34" s="66" t="s">
        <v>97</v>
      </c>
      <c r="D34" s="66">
        <v>403</v>
      </c>
      <c r="E34" s="133" t="s">
        <v>77</v>
      </c>
      <c r="F34" s="60" t="s">
        <v>380</v>
      </c>
      <c r="G34" s="120" t="s">
        <v>710</v>
      </c>
      <c r="H34" s="61"/>
      <c r="I34" s="143">
        <v>45755</v>
      </c>
      <c r="J34" s="146" t="s">
        <v>37</v>
      </c>
      <c r="K34" s="146" t="s">
        <v>37</v>
      </c>
      <c r="L34" s="146" t="s">
        <v>37</v>
      </c>
      <c r="M34" s="146" t="s">
        <v>37</v>
      </c>
      <c r="N34" s="70" t="s">
        <v>37</v>
      </c>
      <c r="O34" s="166"/>
      <c r="P34" s="6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 x14ac:dyDescent="0.3">
      <c r="A35" s="44" t="s">
        <v>38</v>
      </c>
      <c r="B35" s="96" t="s">
        <v>34</v>
      </c>
      <c r="C35" s="66" t="s">
        <v>97</v>
      </c>
      <c r="D35" s="58">
        <v>404</v>
      </c>
      <c r="E35" s="59" t="s">
        <v>77</v>
      </c>
      <c r="F35" s="60" t="s">
        <v>380</v>
      </c>
      <c r="G35" s="120" t="s">
        <v>710</v>
      </c>
      <c r="H35" s="61"/>
      <c r="I35" s="62">
        <v>45764</v>
      </c>
      <c r="J35" s="63" t="s">
        <v>37</v>
      </c>
      <c r="K35" s="63" t="s">
        <v>37</v>
      </c>
      <c r="L35" s="63" t="s">
        <v>37</v>
      </c>
      <c r="M35" s="63" t="s">
        <v>37</v>
      </c>
      <c r="N35" s="64" t="s">
        <v>37</v>
      </c>
      <c r="O35" s="166"/>
      <c r="P35" s="6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1:39" x14ac:dyDescent="0.3">
      <c r="A36" s="44" t="s">
        <v>38</v>
      </c>
      <c r="B36" s="96" t="s">
        <v>34</v>
      </c>
      <c r="C36" s="66" t="s">
        <v>97</v>
      </c>
      <c r="D36" s="71">
        <v>405</v>
      </c>
      <c r="E36" s="128" t="s">
        <v>77</v>
      </c>
      <c r="F36" s="60" t="s">
        <v>380</v>
      </c>
      <c r="G36" s="120" t="s">
        <v>729</v>
      </c>
      <c r="H36" s="61"/>
      <c r="I36" s="143">
        <v>45782</v>
      </c>
      <c r="J36" s="146" t="s">
        <v>37</v>
      </c>
      <c r="K36" s="146" t="s">
        <v>37</v>
      </c>
      <c r="L36" s="146" t="s">
        <v>37</v>
      </c>
      <c r="M36" s="146" t="s">
        <v>37</v>
      </c>
      <c r="N36" s="70" t="s">
        <v>37</v>
      </c>
      <c r="O36" s="166"/>
      <c r="P36" s="6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1:39" x14ac:dyDescent="0.3">
      <c r="A37" s="44" t="s">
        <v>38</v>
      </c>
      <c r="B37" s="96" t="s">
        <v>34</v>
      </c>
      <c r="C37" s="66" t="s">
        <v>97</v>
      </c>
      <c r="D37" s="71">
        <v>406</v>
      </c>
      <c r="E37" s="128" t="s">
        <v>77</v>
      </c>
      <c r="F37" s="60" t="s">
        <v>380</v>
      </c>
      <c r="G37" s="120" t="s">
        <v>730</v>
      </c>
      <c r="H37" s="61"/>
      <c r="I37" s="143">
        <v>45604</v>
      </c>
      <c r="J37" s="146" t="s">
        <v>37</v>
      </c>
      <c r="K37" s="146" t="s">
        <v>37</v>
      </c>
      <c r="L37" s="146" t="s">
        <v>37</v>
      </c>
      <c r="M37" s="146" t="s">
        <v>37</v>
      </c>
      <c r="N37" s="70" t="s">
        <v>37</v>
      </c>
      <c r="O37" s="166"/>
      <c r="P37" s="6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1:39" x14ac:dyDescent="0.3">
      <c r="A38" s="44" t="s">
        <v>38</v>
      </c>
      <c r="B38" s="96" t="s">
        <v>34</v>
      </c>
      <c r="C38" s="66" t="s">
        <v>97</v>
      </c>
      <c r="D38" s="71">
        <v>407</v>
      </c>
      <c r="E38" s="130" t="s">
        <v>105</v>
      </c>
      <c r="F38" s="60" t="s">
        <v>380</v>
      </c>
      <c r="G38" s="120" t="s">
        <v>726</v>
      </c>
      <c r="H38" s="61"/>
      <c r="I38" s="143">
        <v>45618</v>
      </c>
      <c r="J38" s="146" t="s">
        <v>37</v>
      </c>
      <c r="K38" s="146" t="s">
        <v>37</v>
      </c>
      <c r="L38" s="146" t="s">
        <v>37</v>
      </c>
      <c r="M38" s="146" t="s">
        <v>37</v>
      </c>
      <c r="N38" s="70" t="s">
        <v>37</v>
      </c>
      <c r="O38" s="166"/>
      <c r="P38" s="6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1:39" x14ac:dyDescent="0.3">
      <c r="A39" s="44" t="s">
        <v>38</v>
      </c>
      <c r="B39" s="96" t="s">
        <v>34</v>
      </c>
      <c r="C39" s="66" t="s">
        <v>97</v>
      </c>
      <c r="D39" s="66">
        <v>408</v>
      </c>
      <c r="E39" s="133" t="s">
        <v>77</v>
      </c>
      <c r="F39" s="60" t="s">
        <v>380</v>
      </c>
      <c r="G39" s="120" t="s">
        <v>731</v>
      </c>
      <c r="H39" s="61"/>
      <c r="I39" s="143">
        <v>45740</v>
      </c>
      <c r="J39" s="146" t="s">
        <v>37</v>
      </c>
      <c r="K39" s="146" t="s">
        <v>37</v>
      </c>
      <c r="L39" s="146" t="s">
        <v>37</v>
      </c>
      <c r="M39" s="146" t="s">
        <v>37</v>
      </c>
      <c r="N39" s="70" t="s">
        <v>37</v>
      </c>
      <c r="O39" s="166"/>
      <c r="P39" s="6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1:39" x14ac:dyDescent="0.3">
      <c r="A40" s="44" t="s">
        <v>38</v>
      </c>
      <c r="B40" s="96" t="s">
        <v>34</v>
      </c>
      <c r="C40" s="66" t="s">
        <v>97</v>
      </c>
      <c r="D40" s="58">
        <v>501</v>
      </c>
      <c r="E40" s="59" t="s">
        <v>77</v>
      </c>
      <c r="F40" s="60" t="s">
        <v>380</v>
      </c>
      <c r="G40" s="120" t="s">
        <v>715</v>
      </c>
      <c r="H40" s="61"/>
      <c r="I40" s="62">
        <v>45772</v>
      </c>
      <c r="J40" s="63" t="s">
        <v>37</v>
      </c>
      <c r="K40" s="63" t="s">
        <v>37</v>
      </c>
      <c r="L40" s="63" t="s">
        <v>37</v>
      </c>
      <c r="M40" s="63" t="s">
        <v>37</v>
      </c>
      <c r="N40" s="64" t="s">
        <v>37</v>
      </c>
      <c r="O40" s="166"/>
      <c r="P40" s="6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 x14ac:dyDescent="0.3">
      <c r="A41" s="44" t="s">
        <v>38</v>
      </c>
      <c r="B41" s="96" t="s">
        <v>34</v>
      </c>
      <c r="C41" s="66" t="s">
        <v>97</v>
      </c>
      <c r="D41" s="71">
        <v>502</v>
      </c>
      <c r="E41" s="130" t="s">
        <v>105</v>
      </c>
      <c r="F41" s="60" t="s">
        <v>380</v>
      </c>
      <c r="G41" s="120" t="s">
        <v>732</v>
      </c>
      <c r="H41" s="61"/>
      <c r="I41" s="143">
        <v>45632</v>
      </c>
      <c r="J41" s="169" t="s">
        <v>37</v>
      </c>
      <c r="K41" s="169" t="s">
        <v>37</v>
      </c>
      <c r="L41" s="169" t="s">
        <v>37</v>
      </c>
      <c r="M41" s="169" t="s">
        <v>37</v>
      </c>
      <c r="N41" s="114" t="s">
        <v>37</v>
      </c>
      <c r="O41" s="166"/>
      <c r="P41" s="6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 x14ac:dyDescent="0.3">
      <c r="A42" s="49" t="s">
        <v>38</v>
      </c>
      <c r="B42" s="96" t="s">
        <v>34</v>
      </c>
      <c r="C42" s="98" t="s">
        <v>53</v>
      </c>
      <c r="D42" s="66">
        <v>122</v>
      </c>
      <c r="E42" s="67" t="s">
        <v>77</v>
      </c>
      <c r="F42" s="60" t="s">
        <v>380</v>
      </c>
      <c r="G42" s="120" t="s">
        <v>752</v>
      </c>
      <c r="H42" s="68"/>
      <c r="I42" s="240">
        <v>45912</v>
      </c>
      <c r="J42" s="85" t="s">
        <v>38</v>
      </c>
      <c r="K42" s="85" t="s">
        <v>3</v>
      </c>
      <c r="L42" s="85" t="s">
        <v>38</v>
      </c>
      <c r="M42" s="85" t="s">
        <v>38</v>
      </c>
      <c r="N42" s="71" t="s">
        <v>38</v>
      </c>
      <c r="O42" s="174"/>
      <c r="P42" s="168" t="s">
        <v>733</v>
      </c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</row>
    <row r="43" spans="1:39" x14ac:dyDescent="0.3">
      <c r="A43" s="49" t="s">
        <v>38</v>
      </c>
      <c r="B43" s="96" t="s">
        <v>39</v>
      </c>
      <c r="C43" s="98" t="s">
        <v>57</v>
      </c>
      <c r="D43" s="58">
        <v>125</v>
      </c>
      <c r="E43" s="59" t="s">
        <v>77</v>
      </c>
      <c r="F43" s="186" t="s">
        <v>380</v>
      </c>
      <c r="G43" s="121" t="s">
        <v>734</v>
      </c>
      <c r="H43" s="68"/>
      <c r="I43" s="167">
        <v>45898</v>
      </c>
      <c r="J43" s="71" t="s">
        <v>38</v>
      </c>
      <c r="K43" s="71" t="s">
        <v>37</v>
      </c>
      <c r="L43" s="71"/>
      <c r="M43" s="71" t="s">
        <v>37</v>
      </c>
      <c r="N43" s="71" t="s">
        <v>37</v>
      </c>
      <c r="O43" s="174" t="s">
        <v>722</v>
      </c>
      <c r="P43" s="168" t="s">
        <v>735</v>
      </c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</row>
    <row r="44" spans="1:39" x14ac:dyDescent="0.3">
      <c r="A44" s="49" t="s">
        <v>38</v>
      </c>
      <c r="B44" s="96" t="s">
        <v>39</v>
      </c>
      <c r="C44" s="98" t="s">
        <v>57</v>
      </c>
      <c r="D44" s="71">
        <v>126</v>
      </c>
      <c r="E44" s="128" t="s">
        <v>77</v>
      </c>
      <c r="F44" s="174" t="s">
        <v>380</v>
      </c>
      <c r="G44" s="121" t="s">
        <v>736</v>
      </c>
      <c r="H44" s="68"/>
      <c r="I44" s="167">
        <v>45870</v>
      </c>
      <c r="J44" s="71" t="s">
        <v>38</v>
      </c>
      <c r="K44" s="71" t="s">
        <v>38</v>
      </c>
      <c r="L44" s="71" t="s">
        <v>38</v>
      </c>
      <c r="M44" s="71" t="s">
        <v>38</v>
      </c>
      <c r="N44" s="71" t="s">
        <v>38</v>
      </c>
      <c r="O44" s="174"/>
      <c r="P44" s="168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</row>
    <row r="45" spans="1:39" x14ac:dyDescent="0.3">
      <c r="A45" s="49" t="s">
        <v>38</v>
      </c>
      <c r="B45" s="96" t="s">
        <v>39</v>
      </c>
      <c r="C45" s="98" t="s">
        <v>57</v>
      </c>
      <c r="D45" s="71">
        <v>128</v>
      </c>
      <c r="E45" s="128" t="s">
        <v>77</v>
      </c>
      <c r="F45" s="60" t="s">
        <v>380</v>
      </c>
      <c r="G45" s="120" t="s">
        <v>752</v>
      </c>
      <c r="H45" s="68"/>
      <c r="I45" s="247">
        <v>45987</v>
      </c>
      <c r="J45" s="77" t="s">
        <v>37</v>
      </c>
      <c r="K45" s="77" t="s">
        <v>37</v>
      </c>
      <c r="L45" s="77" t="s">
        <v>37</v>
      </c>
      <c r="M45" s="77" t="s">
        <v>37</v>
      </c>
      <c r="N45" s="77" t="s">
        <v>37</v>
      </c>
      <c r="O45" s="174" t="s">
        <v>35</v>
      </c>
      <c r="P45" s="168" t="s">
        <v>737</v>
      </c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</row>
    <row r="46" spans="1:39" x14ac:dyDescent="0.3">
      <c r="A46" s="44" t="s">
        <v>38</v>
      </c>
      <c r="B46" s="96" t="s">
        <v>34</v>
      </c>
      <c r="C46" s="66" t="s">
        <v>97</v>
      </c>
      <c r="D46" s="71">
        <v>507</v>
      </c>
      <c r="E46" s="130" t="s">
        <v>105</v>
      </c>
      <c r="F46" s="60" t="s">
        <v>380</v>
      </c>
      <c r="G46" s="120" t="s">
        <v>718</v>
      </c>
      <c r="H46" s="61"/>
      <c r="I46" s="143">
        <v>45589</v>
      </c>
      <c r="J46" s="146" t="s">
        <v>37</v>
      </c>
      <c r="K46" s="146" t="s">
        <v>37</v>
      </c>
      <c r="L46" s="146" t="s">
        <v>37</v>
      </c>
      <c r="M46" s="146" t="s">
        <v>37</v>
      </c>
      <c r="N46" s="172" t="s">
        <v>37</v>
      </c>
      <c r="O46" s="166"/>
      <c r="P46" s="6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39" x14ac:dyDescent="0.3">
      <c r="A47" s="44" t="s">
        <v>38</v>
      </c>
      <c r="B47" s="96" t="s">
        <v>34</v>
      </c>
      <c r="C47" s="66" t="s">
        <v>97</v>
      </c>
      <c r="D47" s="71">
        <v>508</v>
      </c>
      <c r="E47" s="128" t="s">
        <v>77</v>
      </c>
      <c r="F47" s="60" t="s">
        <v>380</v>
      </c>
      <c r="G47" s="120" t="s">
        <v>718</v>
      </c>
      <c r="H47" s="61"/>
      <c r="I47" s="143">
        <v>45632</v>
      </c>
      <c r="J47" s="146" t="s">
        <v>37</v>
      </c>
      <c r="K47" s="146" t="s">
        <v>37</v>
      </c>
      <c r="L47" s="146" t="s">
        <v>37</v>
      </c>
      <c r="M47" s="146" t="s">
        <v>37</v>
      </c>
      <c r="N47" s="70" t="s">
        <v>37</v>
      </c>
      <c r="O47" s="166"/>
      <c r="P47" s="6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</row>
    <row r="48" spans="1:39" x14ac:dyDescent="0.3">
      <c r="A48" s="44" t="s">
        <v>38</v>
      </c>
      <c r="B48" s="96" t="s">
        <v>34</v>
      </c>
      <c r="C48" s="71" t="s">
        <v>65</v>
      </c>
      <c r="D48" s="71">
        <v>109</v>
      </c>
      <c r="E48" s="76" t="s">
        <v>77</v>
      </c>
      <c r="F48" s="60" t="s">
        <v>380</v>
      </c>
      <c r="G48" s="120" t="s">
        <v>714</v>
      </c>
      <c r="H48" s="61"/>
      <c r="I48" s="72">
        <v>45793</v>
      </c>
      <c r="J48" s="69" t="s">
        <v>37</v>
      </c>
      <c r="K48" s="69" t="s">
        <v>37</v>
      </c>
      <c r="L48" s="69" t="s">
        <v>37</v>
      </c>
      <c r="M48" s="69" t="s">
        <v>37</v>
      </c>
      <c r="N48" s="70" t="s">
        <v>37</v>
      </c>
      <c r="O48" s="166"/>
      <c r="P48" s="6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39" x14ac:dyDescent="0.3">
      <c r="A49" s="44" t="s">
        <v>38</v>
      </c>
      <c r="B49" s="96" t="s">
        <v>34</v>
      </c>
      <c r="C49" s="71" t="s">
        <v>65</v>
      </c>
      <c r="D49" s="77">
        <v>110</v>
      </c>
      <c r="E49" s="78" t="s">
        <v>82</v>
      </c>
      <c r="F49" s="60" t="s">
        <v>380</v>
      </c>
      <c r="G49" s="120" t="s">
        <v>710</v>
      </c>
      <c r="H49" s="61"/>
      <c r="I49" s="79">
        <v>45716</v>
      </c>
      <c r="J49" s="69" t="s">
        <v>37</v>
      </c>
      <c r="K49" s="69" t="s">
        <v>37</v>
      </c>
      <c r="L49" s="69" t="s">
        <v>37</v>
      </c>
      <c r="M49" s="69" t="s">
        <v>37</v>
      </c>
      <c r="N49" s="70" t="s">
        <v>37</v>
      </c>
      <c r="O49" s="166"/>
      <c r="P49" s="6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</row>
    <row r="50" spans="1:39" x14ac:dyDescent="0.3">
      <c r="A50" s="44" t="s">
        <v>38</v>
      </c>
      <c r="B50" s="96" t="s">
        <v>34</v>
      </c>
      <c r="C50" s="71" t="s">
        <v>65</v>
      </c>
      <c r="D50" s="71">
        <v>111</v>
      </c>
      <c r="E50" s="128" t="s">
        <v>77</v>
      </c>
      <c r="F50" s="60" t="s">
        <v>380</v>
      </c>
      <c r="G50" s="120" t="s">
        <v>720</v>
      </c>
      <c r="H50" s="61"/>
      <c r="I50" s="72">
        <v>45820</v>
      </c>
      <c r="J50" s="69" t="s">
        <v>37</v>
      </c>
      <c r="K50" s="69" t="s">
        <v>37</v>
      </c>
      <c r="L50" s="69" t="s">
        <v>37</v>
      </c>
      <c r="M50" s="69" t="s">
        <v>37</v>
      </c>
      <c r="N50" s="70" t="s">
        <v>37</v>
      </c>
      <c r="O50" s="166"/>
      <c r="P50" s="6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</row>
    <row r="51" spans="1:39" x14ac:dyDescent="0.3">
      <c r="A51" s="44" t="s">
        <v>38</v>
      </c>
      <c r="B51" s="96" t="s">
        <v>34</v>
      </c>
      <c r="C51" s="71" t="s">
        <v>65</v>
      </c>
      <c r="D51" s="73">
        <v>112</v>
      </c>
      <c r="E51" s="74" t="s">
        <v>77</v>
      </c>
      <c r="F51" s="60" t="s">
        <v>380</v>
      </c>
      <c r="G51" s="120" t="s">
        <v>720</v>
      </c>
      <c r="H51" s="61"/>
      <c r="I51" s="72">
        <v>45832</v>
      </c>
      <c r="J51" s="69" t="s">
        <v>37</v>
      </c>
      <c r="K51" s="69" t="s">
        <v>37</v>
      </c>
      <c r="L51" s="69" t="s">
        <v>37</v>
      </c>
      <c r="M51" s="69" t="s">
        <v>37</v>
      </c>
      <c r="N51" s="70" t="s">
        <v>37</v>
      </c>
      <c r="O51" s="166"/>
      <c r="P51" s="6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</row>
    <row r="52" spans="1:39" x14ac:dyDescent="0.3">
      <c r="A52" s="44" t="s">
        <v>38</v>
      </c>
      <c r="B52" s="96" t="s">
        <v>34</v>
      </c>
      <c r="C52" s="71" t="s">
        <v>65</v>
      </c>
      <c r="D52" s="71">
        <v>113</v>
      </c>
      <c r="E52" s="81" t="s">
        <v>54</v>
      </c>
      <c r="F52" s="60" t="s">
        <v>380</v>
      </c>
      <c r="G52" s="120" t="s">
        <v>706</v>
      </c>
      <c r="H52" s="61"/>
      <c r="I52" s="72">
        <v>45582</v>
      </c>
      <c r="J52" s="69" t="s">
        <v>37</v>
      </c>
      <c r="K52" s="69" t="s">
        <v>37</v>
      </c>
      <c r="L52" s="69" t="s">
        <v>37</v>
      </c>
      <c r="M52" s="69" t="s">
        <v>37</v>
      </c>
      <c r="N52" s="70" t="s">
        <v>37</v>
      </c>
      <c r="O52" s="166"/>
      <c r="P52" s="6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</row>
    <row r="53" spans="1:39" x14ac:dyDescent="0.3">
      <c r="A53" s="44" t="s">
        <v>38</v>
      </c>
      <c r="B53" s="96" t="s">
        <v>34</v>
      </c>
      <c r="C53" s="71" t="s">
        <v>65</v>
      </c>
      <c r="D53" s="71">
        <v>114</v>
      </c>
      <c r="E53" s="82" t="s">
        <v>54</v>
      </c>
      <c r="F53" s="60" t="s">
        <v>380</v>
      </c>
      <c r="G53" s="120" t="s">
        <v>706</v>
      </c>
      <c r="H53" s="61"/>
      <c r="I53" s="72">
        <v>45582</v>
      </c>
      <c r="J53" s="69" t="s">
        <v>37</v>
      </c>
      <c r="K53" s="69" t="s">
        <v>37</v>
      </c>
      <c r="L53" s="69" t="s">
        <v>37</v>
      </c>
      <c r="M53" s="69" t="s">
        <v>37</v>
      </c>
      <c r="N53" s="70" t="s">
        <v>37</v>
      </c>
      <c r="O53" s="166"/>
      <c r="P53" s="6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</row>
    <row r="54" spans="1:39" x14ac:dyDescent="0.3">
      <c r="A54" s="44" t="s">
        <v>38</v>
      </c>
      <c r="B54" s="96" t="s">
        <v>34</v>
      </c>
      <c r="C54" s="71" t="s">
        <v>65</v>
      </c>
      <c r="D54" s="71">
        <v>115</v>
      </c>
      <c r="E54" s="82" t="s">
        <v>54</v>
      </c>
      <c r="F54" s="60" t="s">
        <v>380</v>
      </c>
      <c r="G54" s="120" t="s">
        <v>706</v>
      </c>
      <c r="H54" s="61"/>
      <c r="I54" s="72">
        <v>45582</v>
      </c>
      <c r="J54" s="69" t="s">
        <v>37</v>
      </c>
      <c r="K54" s="69" t="s">
        <v>37</v>
      </c>
      <c r="L54" s="69" t="s">
        <v>37</v>
      </c>
      <c r="M54" s="69" t="s">
        <v>37</v>
      </c>
      <c r="N54" s="70" t="s">
        <v>37</v>
      </c>
      <c r="O54" s="166"/>
      <c r="P54" s="6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</row>
    <row r="55" spans="1:39" x14ac:dyDescent="0.3">
      <c r="A55" s="44" t="s">
        <v>38</v>
      </c>
      <c r="B55" s="96" t="s">
        <v>34</v>
      </c>
      <c r="C55" s="71" t="s">
        <v>65</v>
      </c>
      <c r="D55" s="71">
        <v>116</v>
      </c>
      <c r="E55" s="78" t="s">
        <v>82</v>
      </c>
      <c r="F55" s="60" t="s">
        <v>380</v>
      </c>
      <c r="G55" s="120" t="s">
        <v>738</v>
      </c>
      <c r="H55" s="61"/>
      <c r="I55" s="72">
        <v>45594</v>
      </c>
      <c r="J55" s="69" t="s">
        <v>37</v>
      </c>
      <c r="K55" s="69" t="s">
        <v>37</v>
      </c>
      <c r="L55" s="69" t="s">
        <v>37</v>
      </c>
      <c r="M55" s="69" t="s">
        <v>37</v>
      </c>
      <c r="N55" s="70" t="s">
        <v>37</v>
      </c>
      <c r="O55" s="166"/>
      <c r="P55" s="6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</row>
    <row r="56" spans="1:39" x14ac:dyDescent="0.3">
      <c r="A56" s="44" t="s">
        <v>38</v>
      </c>
      <c r="B56" s="96" t="s">
        <v>34</v>
      </c>
      <c r="C56" s="71" t="s">
        <v>65</v>
      </c>
      <c r="D56" s="83">
        <v>209</v>
      </c>
      <c r="E56" s="153" t="s">
        <v>77</v>
      </c>
      <c r="F56" s="60" t="s">
        <v>380</v>
      </c>
      <c r="G56" s="120" t="s">
        <v>732</v>
      </c>
      <c r="H56" s="61"/>
      <c r="I56" s="72">
        <v>45632</v>
      </c>
      <c r="J56" s="69" t="s">
        <v>37</v>
      </c>
      <c r="K56" s="69" t="s">
        <v>37</v>
      </c>
      <c r="L56" s="69" t="s">
        <v>37</v>
      </c>
      <c r="M56" s="69" t="s">
        <v>37</v>
      </c>
      <c r="N56" s="70" t="s">
        <v>37</v>
      </c>
      <c r="O56" s="166"/>
      <c r="P56" s="6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</row>
    <row r="57" spans="1:39" x14ac:dyDescent="0.3">
      <c r="A57" s="44" t="s">
        <v>38</v>
      </c>
      <c r="B57" s="96" t="s">
        <v>34</v>
      </c>
      <c r="C57" s="71" t="s">
        <v>65</v>
      </c>
      <c r="D57" s="71">
        <v>210</v>
      </c>
      <c r="E57" s="136" t="s">
        <v>82</v>
      </c>
      <c r="F57" s="60" t="s">
        <v>380</v>
      </c>
      <c r="G57" s="120" t="s">
        <v>726</v>
      </c>
      <c r="H57" s="61"/>
      <c r="I57" s="72">
        <v>45594</v>
      </c>
      <c r="J57" s="170" t="s">
        <v>37</v>
      </c>
      <c r="K57" s="170" t="s">
        <v>37</v>
      </c>
      <c r="L57" s="170" t="s">
        <v>37</v>
      </c>
      <c r="M57" s="170" t="s">
        <v>37</v>
      </c>
      <c r="N57" s="114" t="s">
        <v>37</v>
      </c>
      <c r="O57" s="166"/>
      <c r="P57" s="6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</row>
    <row r="58" spans="1:39" x14ac:dyDescent="0.3">
      <c r="A58" s="49" t="s">
        <v>38</v>
      </c>
      <c r="B58" s="96" t="s">
        <v>39</v>
      </c>
      <c r="C58" s="164" t="s">
        <v>60</v>
      </c>
      <c r="D58" s="91">
        <v>133</v>
      </c>
      <c r="E58" s="183" t="s">
        <v>77</v>
      </c>
      <c r="F58" s="60" t="s">
        <v>380</v>
      </c>
      <c r="G58" s="121" t="s">
        <v>739</v>
      </c>
      <c r="H58" s="68"/>
      <c r="I58" s="247">
        <v>45987</v>
      </c>
      <c r="J58" s="77" t="s">
        <v>37</v>
      </c>
      <c r="K58" s="77" t="s">
        <v>37</v>
      </c>
      <c r="L58" s="77" t="s">
        <v>37</v>
      </c>
      <c r="M58" s="77" t="s">
        <v>37</v>
      </c>
      <c r="N58" s="77" t="s">
        <v>37</v>
      </c>
      <c r="O58" s="174" t="s">
        <v>35</v>
      </c>
      <c r="P58" s="168" t="s">
        <v>740</v>
      </c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</row>
    <row r="59" spans="1:39" x14ac:dyDescent="0.3">
      <c r="A59" s="44" t="s">
        <v>38</v>
      </c>
      <c r="B59" s="96" t="s">
        <v>34</v>
      </c>
      <c r="C59" s="71" t="s">
        <v>65</v>
      </c>
      <c r="D59" s="71">
        <v>212</v>
      </c>
      <c r="E59" s="128" t="s">
        <v>77</v>
      </c>
      <c r="F59" s="60" t="s">
        <v>380</v>
      </c>
      <c r="G59" s="120" t="s">
        <v>741</v>
      </c>
      <c r="H59" s="61"/>
      <c r="I59" s="143">
        <v>45595</v>
      </c>
      <c r="J59" s="146" t="s">
        <v>37</v>
      </c>
      <c r="K59" s="146" t="s">
        <v>37</v>
      </c>
      <c r="L59" s="146" t="s">
        <v>37</v>
      </c>
      <c r="M59" s="146" t="s">
        <v>37</v>
      </c>
      <c r="N59" s="172" t="s">
        <v>37</v>
      </c>
      <c r="O59" s="166"/>
      <c r="P59" s="6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</row>
    <row r="60" spans="1:39" x14ac:dyDescent="0.3">
      <c r="A60" s="44" t="s">
        <v>38</v>
      </c>
      <c r="B60" s="96" t="s">
        <v>34</v>
      </c>
      <c r="C60" s="71" t="s">
        <v>65</v>
      </c>
      <c r="D60" s="71">
        <v>213</v>
      </c>
      <c r="E60" s="131" t="s">
        <v>54</v>
      </c>
      <c r="F60" s="60" t="s">
        <v>380</v>
      </c>
      <c r="G60" s="120" t="s">
        <v>706</v>
      </c>
      <c r="H60" s="61"/>
      <c r="I60" s="144">
        <v>45582</v>
      </c>
      <c r="J60" s="150" t="s">
        <v>37</v>
      </c>
      <c r="K60" s="150" t="s">
        <v>37</v>
      </c>
      <c r="L60" s="150" t="s">
        <v>37</v>
      </c>
      <c r="M60" s="150" t="s">
        <v>37</v>
      </c>
      <c r="N60" s="70" t="s">
        <v>37</v>
      </c>
      <c r="O60" s="166"/>
      <c r="P60" s="6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</row>
    <row r="61" spans="1:39" x14ac:dyDescent="0.3">
      <c r="A61" s="44" t="s">
        <v>38</v>
      </c>
      <c r="B61" s="96" t="s">
        <v>34</v>
      </c>
      <c r="C61" s="71" t="s">
        <v>65</v>
      </c>
      <c r="D61" s="71">
        <v>214</v>
      </c>
      <c r="E61" s="92" t="s">
        <v>54</v>
      </c>
      <c r="F61" s="60" t="s">
        <v>380</v>
      </c>
      <c r="G61" s="120" t="s">
        <v>706</v>
      </c>
      <c r="H61" s="61"/>
      <c r="I61" s="93">
        <v>45582</v>
      </c>
      <c r="J61" s="66" t="s">
        <v>37</v>
      </c>
      <c r="K61" s="66" t="s">
        <v>37</v>
      </c>
      <c r="L61" s="66" t="s">
        <v>37</v>
      </c>
      <c r="M61" s="66" t="s">
        <v>37</v>
      </c>
      <c r="N61" s="70" t="s">
        <v>37</v>
      </c>
      <c r="O61" s="166"/>
      <c r="P61" s="6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</row>
    <row r="62" spans="1:39" x14ac:dyDescent="0.3">
      <c r="A62" s="44" t="s">
        <v>38</v>
      </c>
      <c r="B62" s="96" t="s">
        <v>34</v>
      </c>
      <c r="C62" s="71" t="s">
        <v>65</v>
      </c>
      <c r="D62" s="71">
        <v>215</v>
      </c>
      <c r="E62" s="92" t="s">
        <v>54</v>
      </c>
      <c r="F62" s="60" t="s">
        <v>380</v>
      </c>
      <c r="G62" s="120" t="s">
        <v>706</v>
      </c>
      <c r="H62" s="61"/>
      <c r="I62" s="93">
        <v>45582</v>
      </c>
      <c r="J62" s="66" t="s">
        <v>37</v>
      </c>
      <c r="K62" s="66" t="s">
        <v>37</v>
      </c>
      <c r="L62" s="66" t="s">
        <v>37</v>
      </c>
      <c r="M62" s="66" t="s">
        <v>37</v>
      </c>
      <c r="N62" s="70" t="s">
        <v>37</v>
      </c>
      <c r="O62" s="166"/>
      <c r="P62" s="9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</row>
    <row r="63" spans="1:39" x14ac:dyDescent="0.3">
      <c r="A63" s="44" t="s">
        <v>38</v>
      </c>
      <c r="B63" s="96" t="s">
        <v>34</v>
      </c>
      <c r="C63" s="71" t="s">
        <v>65</v>
      </c>
      <c r="D63" s="71">
        <v>216</v>
      </c>
      <c r="E63" s="94" t="s">
        <v>82</v>
      </c>
      <c r="F63" s="60" t="s">
        <v>380</v>
      </c>
      <c r="G63" s="120" t="s">
        <v>730</v>
      </c>
      <c r="H63" s="61"/>
      <c r="I63" s="93">
        <v>45604</v>
      </c>
      <c r="J63" s="66" t="s">
        <v>37</v>
      </c>
      <c r="K63" s="66" t="s">
        <v>37</v>
      </c>
      <c r="L63" s="66" t="s">
        <v>37</v>
      </c>
      <c r="M63" s="66" t="s">
        <v>37</v>
      </c>
      <c r="N63" s="70" t="s">
        <v>37</v>
      </c>
      <c r="O63" s="166"/>
      <c r="P63" s="6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spans="1:39" x14ac:dyDescent="0.3">
      <c r="A64" s="44" t="s">
        <v>38</v>
      </c>
      <c r="B64" s="96" t="s">
        <v>34</v>
      </c>
      <c r="C64" s="71" t="s">
        <v>65</v>
      </c>
      <c r="D64" s="71">
        <v>309</v>
      </c>
      <c r="E64" s="99" t="s">
        <v>77</v>
      </c>
      <c r="F64" s="60" t="s">
        <v>380</v>
      </c>
      <c r="G64" s="120" t="s">
        <v>713</v>
      </c>
      <c r="H64" s="61"/>
      <c r="I64" s="93">
        <v>45702</v>
      </c>
      <c r="J64" s="66" t="s">
        <v>37</v>
      </c>
      <c r="K64" s="66" t="s">
        <v>37</v>
      </c>
      <c r="L64" s="66" t="s">
        <v>37</v>
      </c>
      <c r="M64" s="66" t="s">
        <v>37</v>
      </c>
      <c r="N64" s="70" t="s">
        <v>37</v>
      </c>
      <c r="O64" s="166"/>
      <c r="P64" s="6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</row>
    <row r="65" spans="1:39" x14ac:dyDescent="0.3">
      <c r="A65" s="44" t="s">
        <v>38</v>
      </c>
      <c r="B65" s="96" t="s">
        <v>34</v>
      </c>
      <c r="C65" s="71" t="s">
        <v>65</v>
      </c>
      <c r="D65" s="71">
        <v>310</v>
      </c>
      <c r="E65" s="94" t="s">
        <v>82</v>
      </c>
      <c r="F65" s="60" t="s">
        <v>380</v>
      </c>
      <c r="G65" s="120" t="s">
        <v>718</v>
      </c>
      <c r="H65" s="61"/>
      <c r="I65" s="93">
        <v>45589</v>
      </c>
      <c r="J65" s="66" t="s">
        <v>37</v>
      </c>
      <c r="K65" s="66" t="s">
        <v>37</v>
      </c>
      <c r="L65" s="66" t="s">
        <v>37</v>
      </c>
      <c r="M65" s="66" t="s">
        <v>37</v>
      </c>
      <c r="N65" s="70" t="s">
        <v>37</v>
      </c>
      <c r="O65" s="166"/>
      <c r="P65" s="6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</row>
    <row r="66" spans="1:39" x14ac:dyDescent="0.3">
      <c r="A66" s="44" t="s">
        <v>38</v>
      </c>
      <c r="B66" s="96" t="s">
        <v>34</v>
      </c>
      <c r="C66" s="71" t="s">
        <v>65</v>
      </c>
      <c r="D66" s="71">
        <v>311</v>
      </c>
      <c r="E66" s="99" t="s">
        <v>77</v>
      </c>
      <c r="F66" s="60" t="s">
        <v>380</v>
      </c>
      <c r="G66" s="120" t="s">
        <v>742</v>
      </c>
      <c r="H66" s="61"/>
      <c r="I66" s="93">
        <v>45681</v>
      </c>
      <c r="J66" s="66" t="s">
        <v>37</v>
      </c>
      <c r="K66" s="66" t="s">
        <v>37</v>
      </c>
      <c r="L66" s="66" t="s">
        <v>37</v>
      </c>
      <c r="M66" s="66" t="s">
        <v>37</v>
      </c>
      <c r="N66" s="70" t="s">
        <v>37</v>
      </c>
      <c r="O66" s="166"/>
      <c r="P66" s="6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</row>
    <row r="67" spans="1:39" x14ac:dyDescent="0.3">
      <c r="A67" s="44" t="s">
        <v>38</v>
      </c>
      <c r="B67" s="96" t="s">
        <v>34</v>
      </c>
      <c r="C67" s="71" t="s">
        <v>65</v>
      </c>
      <c r="D67" s="96">
        <v>312</v>
      </c>
      <c r="E67" s="97" t="s">
        <v>77</v>
      </c>
      <c r="F67" s="60" t="s">
        <v>380</v>
      </c>
      <c r="G67" s="120" t="s">
        <v>743</v>
      </c>
      <c r="H67" s="61"/>
      <c r="I67" s="93">
        <v>45716</v>
      </c>
      <c r="J67" s="66" t="s">
        <v>37</v>
      </c>
      <c r="K67" s="66" t="s">
        <v>37</v>
      </c>
      <c r="L67" s="66" t="s">
        <v>37</v>
      </c>
      <c r="M67" s="66" t="s">
        <v>37</v>
      </c>
      <c r="N67" s="70" t="s">
        <v>37</v>
      </c>
      <c r="O67" s="166"/>
      <c r="P67" s="6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</row>
    <row r="68" spans="1:39" x14ac:dyDescent="0.3">
      <c r="A68" s="44" t="s">
        <v>38</v>
      </c>
      <c r="B68" s="96" t="s">
        <v>34</v>
      </c>
      <c r="C68" s="71" t="s">
        <v>65</v>
      </c>
      <c r="D68" s="71">
        <v>313</v>
      </c>
      <c r="E68" s="92" t="s">
        <v>54</v>
      </c>
      <c r="F68" s="60" t="s">
        <v>380</v>
      </c>
      <c r="G68" s="120" t="s">
        <v>706</v>
      </c>
      <c r="H68" s="61"/>
      <c r="I68" s="93">
        <v>45582</v>
      </c>
      <c r="J68" s="66" t="s">
        <v>37</v>
      </c>
      <c r="K68" s="66" t="s">
        <v>37</v>
      </c>
      <c r="L68" s="66" t="s">
        <v>37</v>
      </c>
      <c r="M68" s="66" t="s">
        <v>37</v>
      </c>
      <c r="N68" s="70" t="s">
        <v>37</v>
      </c>
      <c r="O68" s="166"/>
      <c r="P68" s="6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</row>
    <row r="69" spans="1:39" x14ac:dyDescent="0.3">
      <c r="A69" s="44" t="s">
        <v>38</v>
      </c>
      <c r="B69" s="96" t="s">
        <v>34</v>
      </c>
      <c r="C69" s="71" t="s">
        <v>65</v>
      </c>
      <c r="D69" s="91">
        <v>314</v>
      </c>
      <c r="E69" s="105" t="s">
        <v>54</v>
      </c>
      <c r="F69" s="60" t="s">
        <v>380</v>
      </c>
      <c r="G69" s="120" t="s">
        <v>706</v>
      </c>
      <c r="H69" s="61"/>
      <c r="I69" s="62">
        <v>45582</v>
      </c>
      <c r="J69" s="63" t="s">
        <v>37</v>
      </c>
      <c r="K69" s="63" t="s">
        <v>37</v>
      </c>
      <c r="L69" s="63" t="s">
        <v>37</v>
      </c>
      <c r="M69" s="63" t="s">
        <v>37</v>
      </c>
      <c r="N69" s="64" t="s">
        <v>37</v>
      </c>
      <c r="O69" s="166"/>
      <c r="P69" s="6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</row>
    <row r="70" spans="1:39" x14ac:dyDescent="0.3">
      <c r="A70" s="44" t="s">
        <v>38</v>
      </c>
      <c r="B70" s="96" t="s">
        <v>34</v>
      </c>
      <c r="C70" s="71" t="s">
        <v>65</v>
      </c>
      <c r="D70" s="71">
        <v>315</v>
      </c>
      <c r="E70" s="92" t="s">
        <v>54</v>
      </c>
      <c r="F70" s="60" t="s">
        <v>380</v>
      </c>
      <c r="G70" s="120" t="s">
        <v>706</v>
      </c>
      <c r="H70" s="61"/>
      <c r="I70" s="93">
        <v>45600</v>
      </c>
      <c r="J70" s="66" t="s">
        <v>37</v>
      </c>
      <c r="K70" s="66" t="s">
        <v>37</v>
      </c>
      <c r="L70" s="66" t="s">
        <v>37</v>
      </c>
      <c r="M70" s="66" t="s">
        <v>37</v>
      </c>
      <c r="N70" s="70" t="s">
        <v>37</v>
      </c>
      <c r="O70" s="166"/>
      <c r="P70" s="6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</row>
    <row r="71" spans="1:39" x14ac:dyDescent="0.3">
      <c r="A71" s="44" t="s">
        <v>38</v>
      </c>
      <c r="B71" s="96" t="s">
        <v>34</v>
      </c>
      <c r="C71" s="71" t="s">
        <v>65</v>
      </c>
      <c r="D71" s="71">
        <v>316</v>
      </c>
      <c r="E71" s="94" t="s">
        <v>82</v>
      </c>
      <c r="F71" s="60" t="s">
        <v>380</v>
      </c>
      <c r="G71" s="120" t="s">
        <v>729</v>
      </c>
      <c r="H71" s="61"/>
      <c r="I71" s="93">
        <v>45777</v>
      </c>
      <c r="J71" s="66" t="s">
        <v>37</v>
      </c>
      <c r="K71" s="66" t="s">
        <v>37</v>
      </c>
      <c r="L71" s="66" t="s">
        <v>37</v>
      </c>
      <c r="M71" s="66" t="s">
        <v>37</v>
      </c>
      <c r="N71" s="70" t="s">
        <v>37</v>
      </c>
      <c r="O71" s="166"/>
      <c r="P71" s="6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</row>
    <row r="72" spans="1:39" x14ac:dyDescent="0.3">
      <c r="A72" s="44" t="s">
        <v>38</v>
      </c>
      <c r="B72" s="96" t="s">
        <v>34</v>
      </c>
      <c r="C72" s="71" t="s">
        <v>65</v>
      </c>
      <c r="D72" s="71">
        <v>409</v>
      </c>
      <c r="E72" s="99" t="s">
        <v>77</v>
      </c>
      <c r="F72" s="60" t="s">
        <v>380</v>
      </c>
      <c r="G72" s="120" t="s">
        <v>744</v>
      </c>
      <c r="H72" s="61"/>
      <c r="I72" s="93">
        <v>45814</v>
      </c>
      <c r="J72" s="66" t="s">
        <v>37</v>
      </c>
      <c r="K72" s="66" t="s">
        <v>37</v>
      </c>
      <c r="L72" s="66" t="s">
        <v>37</v>
      </c>
      <c r="M72" s="66" t="s">
        <v>37</v>
      </c>
      <c r="N72" s="70" t="s">
        <v>37</v>
      </c>
      <c r="O72" s="166"/>
      <c r="P72" s="6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</row>
    <row r="73" spans="1:39" x14ac:dyDescent="0.3">
      <c r="A73" s="44" t="s">
        <v>38</v>
      </c>
      <c r="B73" s="96" t="s">
        <v>34</v>
      </c>
      <c r="C73" s="71" t="s">
        <v>65</v>
      </c>
      <c r="D73" s="71">
        <v>410</v>
      </c>
      <c r="E73" s="94" t="s">
        <v>82</v>
      </c>
      <c r="F73" s="60" t="s">
        <v>380</v>
      </c>
      <c r="G73" s="120" t="s">
        <v>745</v>
      </c>
      <c r="H73" s="61"/>
      <c r="I73" s="93">
        <v>45645</v>
      </c>
      <c r="J73" s="66" t="s">
        <v>37</v>
      </c>
      <c r="K73" s="66" t="s">
        <v>37</v>
      </c>
      <c r="L73" s="66" t="s">
        <v>37</v>
      </c>
      <c r="M73" s="66" t="s">
        <v>37</v>
      </c>
      <c r="N73" s="70" t="s">
        <v>37</v>
      </c>
      <c r="O73" s="166"/>
      <c r="P73" s="6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</row>
    <row r="74" spans="1:39" x14ac:dyDescent="0.3">
      <c r="A74" s="49" t="s">
        <v>38</v>
      </c>
      <c r="B74" s="96" t="s">
        <v>34</v>
      </c>
      <c r="C74" s="164" t="s">
        <v>65</v>
      </c>
      <c r="D74" s="71">
        <v>411</v>
      </c>
      <c r="E74" s="84" t="s">
        <v>77</v>
      </c>
      <c r="F74" s="60" t="s">
        <v>380</v>
      </c>
      <c r="G74" s="120" t="s">
        <v>746</v>
      </c>
      <c r="H74" s="90"/>
      <c r="I74" s="144">
        <v>45842</v>
      </c>
      <c r="J74" s="150" t="s">
        <v>37</v>
      </c>
      <c r="K74" s="150" t="s">
        <v>37</v>
      </c>
      <c r="L74" s="150" t="s">
        <v>37</v>
      </c>
      <c r="M74" s="150" t="s">
        <v>37</v>
      </c>
      <c r="N74" s="70" t="s">
        <v>37</v>
      </c>
      <c r="O74" s="166"/>
      <c r="P74" s="65" t="s">
        <v>747</v>
      </c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</row>
    <row r="75" spans="1:39" x14ac:dyDescent="0.3">
      <c r="A75" s="44" t="s">
        <v>38</v>
      </c>
      <c r="B75" s="96" t="s">
        <v>34</v>
      </c>
      <c r="C75" s="71" t="s">
        <v>65</v>
      </c>
      <c r="D75" s="71">
        <v>412</v>
      </c>
      <c r="E75" s="99" t="s">
        <v>77</v>
      </c>
      <c r="F75" s="60" t="s">
        <v>380</v>
      </c>
      <c r="G75" s="120" t="s">
        <v>748</v>
      </c>
      <c r="H75" s="61"/>
      <c r="I75" s="93">
        <v>45819</v>
      </c>
      <c r="J75" s="66" t="s">
        <v>37</v>
      </c>
      <c r="K75" s="66" t="s">
        <v>37</v>
      </c>
      <c r="L75" s="66" t="s">
        <v>37</v>
      </c>
      <c r="M75" s="66" t="s">
        <v>37</v>
      </c>
      <c r="N75" s="70" t="s">
        <v>37</v>
      </c>
      <c r="O75" s="166"/>
      <c r="P75" s="6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</row>
    <row r="76" spans="1:39" x14ac:dyDescent="0.3">
      <c r="A76" s="44" t="s">
        <v>38</v>
      </c>
      <c r="B76" s="96" t="s">
        <v>34</v>
      </c>
      <c r="C76" s="71" t="s">
        <v>65</v>
      </c>
      <c r="D76" s="71">
        <v>413</v>
      </c>
      <c r="E76" s="92" t="s">
        <v>54</v>
      </c>
      <c r="F76" s="60" t="s">
        <v>380</v>
      </c>
      <c r="G76" s="120" t="s">
        <v>706</v>
      </c>
      <c r="H76" s="61"/>
      <c r="I76" s="93">
        <v>45582</v>
      </c>
      <c r="J76" s="66" t="s">
        <v>37</v>
      </c>
      <c r="K76" s="66" t="s">
        <v>37</v>
      </c>
      <c r="L76" s="66" t="s">
        <v>37</v>
      </c>
      <c r="M76" s="66" t="s">
        <v>37</v>
      </c>
      <c r="N76" s="70" t="s">
        <v>37</v>
      </c>
      <c r="O76" s="166"/>
      <c r="P76" s="6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</row>
    <row r="77" spans="1:39" x14ac:dyDescent="0.3">
      <c r="A77" s="44" t="s">
        <v>38</v>
      </c>
      <c r="B77" s="96" t="s">
        <v>34</v>
      </c>
      <c r="C77" s="71" t="s">
        <v>65</v>
      </c>
      <c r="D77" s="71">
        <v>414</v>
      </c>
      <c r="E77" s="92" t="s">
        <v>54</v>
      </c>
      <c r="F77" s="60" t="s">
        <v>380</v>
      </c>
      <c r="G77" s="120" t="s">
        <v>706</v>
      </c>
      <c r="H77" s="61"/>
      <c r="I77" s="93">
        <v>45582</v>
      </c>
      <c r="J77" s="66" t="s">
        <v>37</v>
      </c>
      <c r="K77" s="66" t="s">
        <v>37</v>
      </c>
      <c r="L77" s="66" t="s">
        <v>37</v>
      </c>
      <c r="M77" s="66" t="s">
        <v>37</v>
      </c>
      <c r="N77" s="70" t="s">
        <v>37</v>
      </c>
      <c r="O77" s="166"/>
      <c r="P77" s="6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</row>
    <row r="78" spans="1:39" x14ac:dyDescent="0.3">
      <c r="A78" s="44" t="s">
        <v>38</v>
      </c>
      <c r="B78" s="96" t="s">
        <v>34</v>
      </c>
      <c r="C78" s="71" t="s">
        <v>65</v>
      </c>
      <c r="D78" s="71">
        <v>415</v>
      </c>
      <c r="E78" s="92" t="s">
        <v>54</v>
      </c>
      <c r="F78" s="60" t="s">
        <v>380</v>
      </c>
      <c r="G78" s="120" t="s">
        <v>706</v>
      </c>
      <c r="H78" s="61"/>
      <c r="I78" s="93">
        <v>45582</v>
      </c>
      <c r="J78" s="66" t="s">
        <v>37</v>
      </c>
      <c r="K78" s="66" t="s">
        <v>37</v>
      </c>
      <c r="L78" s="66" t="s">
        <v>37</v>
      </c>
      <c r="M78" s="66" t="s">
        <v>37</v>
      </c>
      <c r="N78" s="70" t="s">
        <v>37</v>
      </c>
      <c r="O78" s="166"/>
      <c r="P78" s="6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</row>
    <row r="79" spans="1:39" x14ac:dyDescent="0.3">
      <c r="A79" s="44" t="s">
        <v>38</v>
      </c>
      <c r="B79" s="96" t="s">
        <v>34</v>
      </c>
      <c r="C79" s="71" t="s">
        <v>65</v>
      </c>
      <c r="D79" s="71">
        <v>416</v>
      </c>
      <c r="E79" s="92" t="s">
        <v>54</v>
      </c>
      <c r="F79" s="60" t="s">
        <v>380</v>
      </c>
      <c r="G79" s="120" t="s">
        <v>706</v>
      </c>
      <c r="H79" s="61"/>
      <c r="I79" s="93">
        <v>45582</v>
      </c>
      <c r="J79" s="96" t="s">
        <v>37</v>
      </c>
      <c r="K79" s="96" t="s">
        <v>37</v>
      </c>
      <c r="L79" s="96" t="s">
        <v>37</v>
      </c>
      <c r="M79" s="96" t="s">
        <v>37</v>
      </c>
      <c r="N79" s="114" t="s">
        <v>37</v>
      </c>
      <c r="O79" s="166"/>
      <c r="P79" s="6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</row>
    <row r="80" spans="1:39" x14ac:dyDescent="0.3">
      <c r="A80" s="49" t="s">
        <v>38</v>
      </c>
      <c r="B80" s="96" t="s">
        <v>39</v>
      </c>
      <c r="C80" s="164" t="s">
        <v>60</v>
      </c>
      <c r="D80" s="71">
        <v>136</v>
      </c>
      <c r="E80" s="99" t="s">
        <v>77</v>
      </c>
      <c r="F80" s="60" t="s">
        <v>380</v>
      </c>
      <c r="G80" s="121" t="s">
        <v>749</v>
      </c>
      <c r="H80" s="68"/>
      <c r="I80" s="247">
        <v>45911</v>
      </c>
      <c r="J80" s="77" t="s">
        <v>37</v>
      </c>
      <c r="K80" s="77" t="s">
        <v>37</v>
      </c>
      <c r="L80" s="77" t="s">
        <v>37</v>
      </c>
      <c r="M80" s="77" t="s">
        <v>37</v>
      </c>
      <c r="N80" s="77" t="s">
        <v>37</v>
      </c>
      <c r="O80" s="174" t="s">
        <v>35</v>
      </c>
      <c r="P80" s="168" t="s">
        <v>750</v>
      </c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</row>
    <row r="81" spans="1:39" x14ac:dyDescent="0.3">
      <c r="A81" s="44" t="s">
        <v>38</v>
      </c>
      <c r="B81" s="96" t="s">
        <v>34</v>
      </c>
      <c r="C81" s="71" t="s">
        <v>65</v>
      </c>
      <c r="D81" s="71">
        <v>510</v>
      </c>
      <c r="E81" s="92" t="s">
        <v>54</v>
      </c>
      <c r="F81" s="60" t="s">
        <v>380</v>
      </c>
      <c r="G81" s="120" t="s">
        <v>706</v>
      </c>
      <c r="H81" s="61"/>
      <c r="I81" s="147">
        <v>45582</v>
      </c>
      <c r="J81" s="165" t="s">
        <v>37</v>
      </c>
      <c r="K81" s="165" t="s">
        <v>37</v>
      </c>
      <c r="L81" s="165" t="s">
        <v>37</v>
      </c>
      <c r="M81" s="165" t="s">
        <v>37</v>
      </c>
      <c r="N81" s="173" t="s">
        <v>37</v>
      </c>
      <c r="O81" s="166"/>
      <c r="P81" s="6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</row>
    <row r="82" spans="1:39" x14ac:dyDescent="0.3">
      <c r="A82" s="49" t="s">
        <v>38</v>
      </c>
      <c r="B82" s="96" t="s">
        <v>34</v>
      </c>
      <c r="C82" s="164" t="s">
        <v>65</v>
      </c>
      <c r="D82" s="71">
        <v>211</v>
      </c>
      <c r="E82" s="84" t="s">
        <v>77</v>
      </c>
      <c r="F82" s="174" t="s">
        <v>380</v>
      </c>
      <c r="G82" s="120" t="s">
        <v>751</v>
      </c>
      <c r="H82" s="68"/>
      <c r="I82" s="167">
        <v>45863</v>
      </c>
      <c r="J82" s="85" t="s">
        <v>38</v>
      </c>
      <c r="K82" s="85" t="s">
        <v>38</v>
      </c>
      <c r="L82" s="85" t="s">
        <v>38</v>
      </c>
      <c r="M82" s="85" t="s">
        <v>38</v>
      </c>
      <c r="N82" s="71" t="s">
        <v>38</v>
      </c>
      <c r="O82" s="174"/>
      <c r="P82" s="168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</row>
    <row r="83" spans="1:39" x14ac:dyDescent="0.3">
      <c r="A83" s="49" t="s">
        <v>38</v>
      </c>
      <c r="B83" s="96" t="s">
        <v>34</v>
      </c>
      <c r="C83" s="164" t="s">
        <v>53</v>
      </c>
      <c r="D83" s="71">
        <v>221</v>
      </c>
      <c r="E83" s="84" t="s">
        <v>77</v>
      </c>
      <c r="F83" s="60" t="s">
        <v>380</v>
      </c>
      <c r="G83" s="120"/>
      <c r="H83" s="68"/>
      <c r="I83" s="167">
        <v>45912</v>
      </c>
      <c r="J83" s="85" t="s">
        <v>37</v>
      </c>
      <c r="K83" s="85" t="s">
        <v>37</v>
      </c>
      <c r="L83" s="85" t="s">
        <v>37</v>
      </c>
      <c r="M83" s="85" t="s">
        <v>37</v>
      </c>
      <c r="N83" s="71" t="s">
        <v>38</v>
      </c>
      <c r="O83" s="174" t="s">
        <v>722</v>
      </c>
      <c r="P83" s="168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</row>
    <row r="84" spans="1:39" x14ac:dyDescent="0.3">
      <c r="A84" s="44" t="s">
        <v>38</v>
      </c>
      <c r="B84" s="96" t="s">
        <v>34</v>
      </c>
      <c r="C84" s="71" t="s">
        <v>65</v>
      </c>
      <c r="D84" s="71">
        <v>513</v>
      </c>
      <c r="E84" s="92" t="s">
        <v>54</v>
      </c>
      <c r="F84" s="60" t="s">
        <v>380</v>
      </c>
      <c r="G84" s="120" t="s">
        <v>706</v>
      </c>
      <c r="H84" s="61"/>
      <c r="I84" s="93">
        <v>45582</v>
      </c>
      <c r="J84" s="87" t="s">
        <v>37</v>
      </c>
      <c r="K84" s="87" t="s">
        <v>37</v>
      </c>
      <c r="L84" s="87" t="s">
        <v>37</v>
      </c>
      <c r="M84" s="87" t="s">
        <v>37</v>
      </c>
      <c r="N84" s="172" t="s">
        <v>37</v>
      </c>
      <c r="O84" s="166"/>
      <c r="P84" s="6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</row>
    <row r="85" spans="1:39" x14ac:dyDescent="0.3">
      <c r="A85" s="44" t="s">
        <v>38</v>
      </c>
      <c r="B85" s="96" t="s">
        <v>34</v>
      </c>
      <c r="C85" s="71" t="s">
        <v>65</v>
      </c>
      <c r="D85" s="71">
        <v>514</v>
      </c>
      <c r="E85" s="92" t="s">
        <v>54</v>
      </c>
      <c r="F85" s="60" t="s">
        <v>380</v>
      </c>
      <c r="G85" s="120" t="s">
        <v>706</v>
      </c>
      <c r="H85" s="61"/>
      <c r="I85" s="93">
        <v>45582</v>
      </c>
      <c r="J85" s="66" t="s">
        <v>37</v>
      </c>
      <c r="K85" s="66" t="s">
        <v>37</v>
      </c>
      <c r="L85" s="66" t="s">
        <v>37</v>
      </c>
      <c r="M85" s="66" t="s">
        <v>37</v>
      </c>
      <c r="N85" s="70" t="s">
        <v>37</v>
      </c>
      <c r="O85" s="166"/>
      <c r="P85" s="6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</row>
    <row r="86" spans="1:39" x14ac:dyDescent="0.3">
      <c r="A86" s="44" t="s">
        <v>38</v>
      </c>
      <c r="B86" s="96" t="s">
        <v>34</v>
      </c>
      <c r="C86" s="71" t="s">
        <v>65</v>
      </c>
      <c r="D86" s="71">
        <v>515</v>
      </c>
      <c r="E86" s="92" t="s">
        <v>54</v>
      </c>
      <c r="F86" s="60" t="s">
        <v>380</v>
      </c>
      <c r="G86" s="120" t="s">
        <v>706</v>
      </c>
      <c r="H86" s="61"/>
      <c r="I86" s="93">
        <v>45582</v>
      </c>
      <c r="J86" s="66" t="s">
        <v>37</v>
      </c>
      <c r="K86" s="66" t="s">
        <v>37</v>
      </c>
      <c r="L86" s="66" t="s">
        <v>37</v>
      </c>
      <c r="M86" s="66" t="s">
        <v>37</v>
      </c>
      <c r="N86" s="70" t="s">
        <v>37</v>
      </c>
      <c r="O86" s="166"/>
      <c r="P86" s="6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</row>
    <row r="87" spans="1:39" x14ac:dyDescent="0.3">
      <c r="A87" s="44" t="s">
        <v>38</v>
      </c>
      <c r="B87" s="96" t="s">
        <v>34</v>
      </c>
      <c r="C87" s="71" t="s">
        <v>65</v>
      </c>
      <c r="D87" s="71">
        <v>516</v>
      </c>
      <c r="E87" s="94" t="s">
        <v>82</v>
      </c>
      <c r="F87" s="60" t="s">
        <v>380</v>
      </c>
      <c r="G87" s="120" t="s">
        <v>725</v>
      </c>
      <c r="H87" s="61"/>
      <c r="I87" s="93">
        <v>45604</v>
      </c>
      <c r="J87" s="66" t="s">
        <v>37</v>
      </c>
      <c r="K87" s="66" t="s">
        <v>37</v>
      </c>
      <c r="L87" s="66" t="s">
        <v>37</v>
      </c>
      <c r="M87" s="66" t="s">
        <v>37</v>
      </c>
      <c r="N87" s="70" t="s">
        <v>37</v>
      </c>
      <c r="O87" s="166"/>
      <c r="P87" s="6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</row>
    <row r="88" spans="1:39" x14ac:dyDescent="0.3">
      <c r="A88" s="44" t="s">
        <v>38</v>
      </c>
      <c r="B88" s="96" t="s">
        <v>34</v>
      </c>
      <c r="C88" s="71" t="s">
        <v>53</v>
      </c>
      <c r="D88" s="71">
        <v>117</v>
      </c>
      <c r="E88" s="136" t="s">
        <v>82</v>
      </c>
      <c r="F88" s="60" t="s">
        <v>380</v>
      </c>
      <c r="G88" s="120" t="s">
        <v>718</v>
      </c>
      <c r="H88" s="61"/>
      <c r="I88" s="144">
        <v>45589</v>
      </c>
      <c r="J88" s="150" t="s">
        <v>37</v>
      </c>
      <c r="K88" s="150" t="s">
        <v>37</v>
      </c>
      <c r="L88" s="150" t="s">
        <v>37</v>
      </c>
      <c r="M88" s="150" t="s">
        <v>37</v>
      </c>
      <c r="N88" s="70" t="s">
        <v>37</v>
      </c>
      <c r="O88" s="166"/>
      <c r="P88" s="6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</row>
    <row r="89" spans="1:39" x14ac:dyDescent="0.3">
      <c r="A89" s="44" t="s">
        <v>38</v>
      </c>
      <c r="B89" s="96" t="s">
        <v>34</v>
      </c>
      <c r="C89" s="71" t="s">
        <v>53</v>
      </c>
      <c r="D89" s="66">
        <v>118</v>
      </c>
      <c r="E89" s="135" t="s">
        <v>54</v>
      </c>
      <c r="F89" s="60" t="s">
        <v>380</v>
      </c>
      <c r="G89" s="120" t="s">
        <v>706</v>
      </c>
      <c r="H89" s="61"/>
      <c r="I89" s="144">
        <v>45582</v>
      </c>
      <c r="J89" s="150" t="s">
        <v>37</v>
      </c>
      <c r="K89" s="150" t="s">
        <v>37</v>
      </c>
      <c r="L89" s="150" t="s">
        <v>37</v>
      </c>
      <c r="M89" s="150" t="s">
        <v>37</v>
      </c>
      <c r="N89" s="70" t="s">
        <v>37</v>
      </c>
      <c r="O89" s="166"/>
      <c r="P89" s="6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</row>
    <row r="90" spans="1:39" x14ac:dyDescent="0.3">
      <c r="A90" s="44" t="s">
        <v>38</v>
      </c>
      <c r="B90" s="96" t="s">
        <v>34</v>
      </c>
      <c r="C90" s="71" t="s">
        <v>53</v>
      </c>
      <c r="D90" s="58">
        <v>119</v>
      </c>
      <c r="E90" s="132" t="s">
        <v>54</v>
      </c>
      <c r="F90" s="60" t="s">
        <v>380</v>
      </c>
      <c r="G90" s="120" t="s">
        <v>706</v>
      </c>
      <c r="H90" s="61"/>
      <c r="I90" s="145">
        <v>45582</v>
      </c>
      <c r="J90" s="149" t="s">
        <v>37</v>
      </c>
      <c r="K90" s="149" t="s">
        <v>37</v>
      </c>
      <c r="L90" s="149" t="s">
        <v>37</v>
      </c>
      <c r="M90" s="149" t="s">
        <v>37</v>
      </c>
      <c r="N90" s="64" t="s">
        <v>37</v>
      </c>
      <c r="O90" s="166"/>
      <c r="P90" s="6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</row>
    <row r="91" spans="1:39" x14ac:dyDescent="0.3">
      <c r="A91" s="44" t="s">
        <v>38</v>
      </c>
      <c r="B91" s="96" t="s">
        <v>34</v>
      </c>
      <c r="C91" s="71" t="s">
        <v>53</v>
      </c>
      <c r="D91" s="71">
        <v>120</v>
      </c>
      <c r="E91" s="131" t="s">
        <v>54</v>
      </c>
      <c r="F91" s="60" t="s">
        <v>380</v>
      </c>
      <c r="G91" s="120" t="s">
        <v>752</v>
      </c>
      <c r="H91" s="61"/>
      <c r="I91" s="144">
        <v>45793</v>
      </c>
      <c r="J91" s="171" t="s">
        <v>37</v>
      </c>
      <c r="K91" s="171" t="s">
        <v>37</v>
      </c>
      <c r="L91" s="171" t="s">
        <v>37</v>
      </c>
      <c r="M91" s="171" t="s">
        <v>37</v>
      </c>
      <c r="N91" s="114" t="s">
        <v>37</v>
      </c>
      <c r="O91" s="166"/>
      <c r="P91" s="6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</row>
    <row r="92" spans="1:39" x14ac:dyDescent="0.3">
      <c r="A92" s="49" t="s">
        <v>38</v>
      </c>
      <c r="B92" s="96" t="s">
        <v>34</v>
      </c>
      <c r="C92" s="164" t="s">
        <v>53</v>
      </c>
      <c r="D92" s="71">
        <v>222</v>
      </c>
      <c r="E92" s="84" t="s">
        <v>77</v>
      </c>
      <c r="F92" s="231" t="s">
        <v>380</v>
      </c>
      <c r="G92" s="120" t="s">
        <v>752</v>
      </c>
      <c r="H92" s="68"/>
      <c r="I92" s="247">
        <v>45931</v>
      </c>
      <c r="J92" s="85" t="s">
        <v>37</v>
      </c>
      <c r="K92" s="85" t="s">
        <v>37</v>
      </c>
      <c r="L92" s="85" t="s">
        <v>37</v>
      </c>
      <c r="M92" s="85" t="s">
        <v>37</v>
      </c>
      <c r="N92" s="71" t="s">
        <v>38</v>
      </c>
      <c r="O92" s="174" t="s">
        <v>37</v>
      </c>
      <c r="P92" s="168" t="s">
        <v>753</v>
      </c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</row>
    <row r="93" spans="1:39" x14ac:dyDescent="0.3">
      <c r="A93" s="49" t="s">
        <v>38</v>
      </c>
      <c r="B93" s="96" t="s">
        <v>34</v>
      </c>
      <c r="C93" s="164" t="s">
        <v>97</v>
      </c>
      <c r="D93" s="71">
        <v>303</v>
      </c>
      <c r="E93" s="84" t="s">
        <v>77</v>
      </c>
      <c r="F93" s="189" t="s">
        <v>380</v>
      </c>
      <c r="G93" s="120" t="s">
        <v>754</v>
      </c>
      <c r="H93" s="68"/>
      <c r="I93" s="167">
        <v>45862</v>
      </c>
      <c r="J93" s="178" t="s">
        <v>37</v>
      </c>
      <c r="K93" s="178" t="s">
        <v>37</v>
      </c>
      <c r="L93" s="178" t="s">
        <v>37</v>
      </c>
      <c r="M93" s="178" t="s">
        <v>37</v>
      </c>
      <c r="N93" s="177"/>
      <c r="O93" s="174" t="s">
        <v>722</v>
      </c>
      <c r="P93" s="168" t="s">
        <v>755</v>
      </c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</row>
    <row r="94" spans="1:39" x14ac:dyDescent="0.3">
      <c r="A94" s="44" t="s">
        <v>38</v>
      </c>
      <c r="B94" s="96" t="s">
        <v>34</v>
      </c>
      <c r="C94" s="71" t="s">
        <v>53</v>
      </c>
      <c r="D94" s="71">
        <v>123</v>
      </c>
      <c r="E94" s="100" t="s">
        <v>105</v>
      </c>
      <c r="F94" s="60" t="s">
        <v>380</v>
      </c>
      <c r="G94" s="120" t="s">
        <v>726</v>
      </c>
      <c r="H94" s="61"/>
      <c r="I94" s="93">
        <v>45595</v>
      </c>
      <c r="J94" s="87" t="s">
        <v>37</v>
      </c>
      <c r="K94" s="87" t="s">
        <v>37</v>
      </c>
      <c r="L94" s="87" t="s">
        <v>37</v>
      </c>
      <c r="M94" s="87" t="s">
        <v>37</v>
      </c>
      <c r="N94" s="172" t="s">
        <v>37</v>
      </c>
      <c r="O94" s="166"/>
      <c r="P94" s="6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</row>
    <row r="95" spans="1:39" x14ac:dyDescent="0.3">
      <c r="A95" s="44" t="s">
        <v>38</v>
      </c>
      <c r="B95" s="96" t="s">
        <v>34</v>
      </c>
      <c r="C95" s="71" t="s">
        <v>53</v>
      </c>
      <c r="D95" s="71">
        <v>124</v>
      </c>
      <c r="E95" s="99" t="s">
        <v>77</v>
      </c>
      <c r="F95" s="60" t="s">
        <v>380</v>
      </c>
      <c r="G95" s="120" t="s">
        <v>720</v>
      </c>
      <c r="H95" s="61"/>
      <c r="I95" s="144">
        <v>45835</v>
      </c>
      <c r="J95" s="150" t="s">
        <v>37</v>
      </c>
      <c r="K95" s="150" t="s">
        <v>37</v>
      </c>
      <c r="L95" s="150" t="s">
        <v>37</v>
      </c>
      <c r="M95" s="150" t="s">
        <v>37</v>
      </c>
      <c r="N95" s="70" t="s">
        <v>37</v>
      </c>
      <c r="O95" s="166"/>
      <c r="P95" s="6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</row>
    <row r="96" spans="1:39" x14ac:dyDescent="0.3">
      <c r="A96" s="44" t="s">
        <v>38</v>
      </c>
      <c r="B96" s="96" t="s">
        <v>34</v>
      </c>
      <c r="C96" s="71" t="s">
        <v>53</v>
      </c>
      <c r="D96" s="71">
        <v>217</v>
      </c>
      <c r="E96" s="94" t="s">
        <v>82</v>
      </c>
      <c r="F96" s="60" t="s">
        <v>380</v>
      </c>
      <c r="G96" s="120" t="s">
        <v>718</v>
      </c>
      <c r="H96" s="61"/>
      <c r="I96" s="93">
        <v>45590</v>
      </c>
      <c r="J96" s="66" t="s">
        <v>37</v>
      </c>
      <c r="K96" s="66" t="s">
        <v>37</v>
      </c>
      <c r="L96" s="66" t="s">
        <v>37</v>
      </c>
      <c r="M96" s="66" t="s">
        <v>37</v>
      </c>
      <c r="N96" s="70" t="s">
        <v>37</v>
      </c>
      <c r="O96" s="166"/>
      <c r="P96" s="6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</row>
    <row r="97" spans="1:39" x14ac:dyDescent="0.3">
      <c r="A97" s="44" t="s">
        <v>38</v>
      </c>
      <c r="B97" s="96" t="s">
        <v>34</v>
      </c>
      <c r="C97" s="71" t="s">
        <v>53</v>
      </c>
      <c r="D97" s="71">
        <v>218</v>
      </c>
      <c r="E97" s="92" t="s">
        <v>54</v>
      </c>
      <c r="F97" s="60" t="s">
        <v>380</v>
      </c>
      <c r="G97" s="120" t="s">
        <v>706</v>
      </c>
      <c r="H97" s="61"/>
      <c r="I97" s="93">
        <v>45582</v>
      </c>
      <c r="J97" s="66" t="s">
        <v>37</v>
      </c>
      <c r="K97" s="66" t="s">
        <v>37</v>
      </c>
      <c r="L97" s="66" t="s">
        <v>37</v>
      </c>
      <c r="M97" s="66" t="s">
        <v>37</v>
      </c>
      <c r="N97" s="70" t="s">
        <v>37</v>
      </c>
      <c r="O97" s="166"/>
      <c r="P97" s="6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</row>
    <row r="98" spans="1:39" x14ac:dyDescent="0.3">
      <c r="A98" s="44" t="s">
        <v>38</v>
      </c>
      <c r="B98" s="96" t="s">
        <v>34</v>
      </c>
      <c r="C98" s="71" t="s">
        <v>53</v>
      </c>
      <c r="D98" s="71">
        <v>219</v>
      </c>
      <c r="E98" s="92" t="s">
        <v>54</v>
      </c>
      <c r="F98" s="60" t="s">
        <v>380</v>
      </c>
      <c r="G98" s="120" t="s">
        <v>706</v>
      </c>
      <c r="H98" s="61"/>
      <c r="I98" s="93">
        <v>45582</v>
      </c>
      <c r="J98" s="66" t="s">
        <v>37</v>
      </c>
      <c r="K98" s="66" t="s">
        <v>37</v>
      </c>
      <c r="L98" s="66" t="s">
        <v>37</v>
      </c>
      <c r="M98" s="66" t="s">
        <v>37</v>
      </c>
      <c r="N98" s="70" t="s">
        <v>37</v>
      </c>
      <c r="O98" s="166"/>
      <c r="P98" s="6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</row>
    <row r="99" spans="1:39" x14ac:dyDescent="0.3">
      <c r="A99" s="44" t="s">
        <v>38</v>
      </c>
      <c r="B99" s="96" t="s">
        <v>34</v>
      </c>
      <c r="C99" s="71" t="s">
        <v>53</v>
      </c>
      <c r="D99" s="71">
        <v>220</v>
      </c>
      <c r="E99" s="92" t="s">
        <v>54</v>
      </c>
      <c r="F99" s="60" t="s">
        <v>380</v>
      </c>
      <c r="G99" s="120" t="s">
        <v>706</v>
      </c>
      <c r="H99" s="61"/>
      <c r="I99" s="93">
        <v>45582</v>
      </c>
      <c r="J99" s="96" t="s">
        <v>37</v>
      </c>
      <c r="K99" s="96" t="s">
        <v>37</v>
      </c>
      <c r="L99" s="96" t="s">
        <v>37</v>
      </c>
      <c r="M99" s="96" t="s">
        <v>37</v>
      </c>
      <c r="N99" s="114" t="s">
        <v>37</v>
      </c>
      <c r="O99" s="166"/>
      <c r="P99" s="6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</row>
    <row r="100" spans="1:39" x14ac:dyDescent="0.3">
      <c r="A100" s="49" t="s">
        <v>38</v>
      </c>
      <c r="B100" s="96" t="s">
        <v>39</v>
      </c>
      <c r="C100" s="164" t="s">
        <v>57</v>
      </c>
      <c r="D100" s="71">
        <v>325</v>
      </c>
      <c r="E100" s="99" t="s">
        <v>77</v>
      </c>
      <c r="F100" s="60" t="s">
        <v>380</v>
      </c>
      <c r="G100" s="120" t="s">
        <v>756</v>
      </c>
      <c r="H100" s="68"/>
      <c r="I100" s="167">
        <v>45898</v>
      </c>
      <c r="J100" s="71" t="s">
        <v>37</v>
      </c>
      <c r="K100" s="71"/>
      <c r="L100" s="71" t="s">
        <v>37</v>
      </c>
      <c r="M100" s="71" t="s">
        <v>38</v>
      </c>
      <c r="N100" s="71" t="s">
        <v>38</v>
      </c>
      <c r="O100" s="174"/>
      <c r="P100" s="168" t="s">
        <v>757</v>
      </c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</row>
    <row r="101" spans="1:39" x14ac:dyDescent="0.3">
      <c r="A101" s="49" t="s">
        <v>38</v>
      </c>
      <c r="B101" s="96" t="s">
        <v>34</v>
      </c>
      <c r="C101" s="164" t="s">
        <v>53</v>
      </c>
      <c r="D101" s="71">
        <v>422</v>
      </c>
      <c r="E101" s="99" t="s">
        <v>77</v>
      </c>
      <c r="F101" s="60" t="s">
        <v>380</v>
      </c>
      <c r="G101" s="120" t="s">
        <v>758</v>
      </c>
      <c r="H101" s="68"/>
      <c r="I101" s="167">
        <v>45905</v>
      </c>
      <c r="J101" s="71" t="s">
        <v>37</v>
      </c>
      <c r="K101" s="71" t="s">
        <v>37</v>
      </c>
      <c r="L101" s="71" t="s">
        <v>38</v>
      </c>
      <c r="M101" s="71" t="s">
        <v>38</v>
      </c>
      <c r="N101" s="71" t="s">
        <v>38</v>
      </c>
      <c r="O101" s="174"/>
      <c r="P101" s="168" t="s">
        <v>757</v>
      </c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</row>
    <row r="102" spans="1:39" x14ac:dyDescent="0.3">
      <c r="A102" s="44" t="s">
        <v>38</v>
      </c>
      <c r="B102" s="96" t="s">
        <v>34</v>
      </c>
      <c r="C102" s="71" t="s">
        <v>53</v>
      </c>
      <c r="D102" s="71">
        <v>223</v>
      </c>
      <c r="E102" s="100" t="s">
        <v>105</v>
      </c>
      <c r="F102" s="115" t="s">
        <v>380</v>
      </c>
      <c r="G102" s="120" t="s">
        <v>759</v>
      </c>
      <c r="H102" s="61"/>
      <c r="I102" s="93">
        <v>45642</v>
      </c>
      <c r="J102" s="87" t="s">
        <v>37</v>
      </c>
      <c r="K102" s="87" t="s">
        <v>37</v>
      </c>
      <c r="L102" s="87" t="s">
        <v>37</v>
      </c>
      <c r="M102" s="87" t="s">
        <v>37</v>
      </c>
      <c r="N102" s="172" t="s">
        <v>37</v>
      </c>
      <c r="O102" s="166"/>
      <c r="P102" s="6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</row>
    <row r="103" spans="1:39" x14ac:dyDescent="0.3">
      <c r="A103" s="44" t="s">
        <v>38</v>
      </c>
      <c r="B103" s="96" t="s">
        <v>34</v>
      </c>
      <c r="C103" s="71" t="s">
        <v>53</v>
      </c>
      <c r="D103" s="71">
        <v>224</v>
      </c>
      <c r="E103" s="99" t="s">
        <v>77</v>
      </c>
      <c r="F103" s="115" t="s">
        <v>380</v>
      </c>
      <c r="G103" s="120" t="s">
        <v>760</v>
      </c>
      <c r="H103" s="61"/>
      <c r="I103" s="93">
        <v>45695</v>
      </c>
      <c r="J103" s="66" t="s">
        <v>37</v>
      </c>
      <c r="K103" s="66" t="s">
        <v>37</v>
      </c>
      <c r="L103" s="66" t="s">
        <v>37</v>
      </c>
      <c r="M103" s="66" t="s">
        <v>37</v>
      </c>
      <c r="N103" s="70" t="s">
        <v>37</v>
      </c>
      <c r="O103" s="166"/>
      <c r="P103" s="6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</row>
    <row r="104" spans="1:39" x14ac:dyDescent="0.3">
      <c r="A104" s="44" t="s">
        <v>38</v>
      </c>
      <c r="B104" s="96" t="s">
        <v>34</v>
      </c>
      <c r="C104" s="71" t="s">
        <v>53</v>
      </c>
      <c r="D104" s="71">
        <v>317</v>
      </c>
      <c r="E104" s="94" t="s">
        <v>82</v>
      </c>
      <c r="F104" s="115" t="s">
        <v>380</v>
      </c>
      <c r="G104" s="120" t="s">
        <v>761</v>
      </c>
      <c r="H104" s="61"/>
      <c r="I104" s="93">
        <v>45687</v>
      </c>
      <c r="J104" s="66" t="s">
        <v>37</v>
      </c>
      <c r="K104" s="66" t="s">
        <v>37</v>
      </c>
      <c r="L104" s="66" t="s">
        <v>37</v>
      </c>
      <c r="M104" s="66" t="s">
        <v>37</v>
      </c>
      <c r="N104" s="70" t="s">
        <v>37</v>
      </c>
      <c r="O104" s="166"/>
      <c r="P104" s="6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</row>
    <row r="105" spans="1:39" x14ac:dyDescent="0.3">
      <c r="A105" s="44" t="s">
        <v>38</v>
      </c>
      <c r="B105" s="96" t="s">
        <v>34</v>
      </c>
      <c r="C105" s="71" t="s">
        <v>53</v>
      </c>
      <c r="D105" s="71">
        <v>318</v>
      </c>
      <c r="E105" s="92" t="s">
        <v>54</v>
      </c>
      <c r="F105" s="115" t="s">
        <v>380</v>
      </c>
      <c r="G105" s="120" t="s">
        <v>706</v>
      </c>
      <c r="H105" s="61"/>
      <c r="I105" s="93">
        <v>45582</v>
      </c>
      <c r="J105" s="66" t="s">
        <v>37</v>
      </c>
      <c r="K105" s="66" t="s">
        <v>37</v>
      </c>
      <c r="L105" s="66" t="s">
        <v>37</v>
      </c>
      <c r="M105" s="66" t="s">
        <v>37</v>
      </c>
      <c r="N105" s="70" t="s">
        <v>37</v>
      </c>
      <c r="O105" s="166"/>
      <c r="P105" s="6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</row>
    <row r="106" spans="1:39" x14ac:dyDescent="0.3">
      <c r="A106" s="44" t="s">
        <v>38</v>
      </c>
      <c r="B106" s="96" t="s">
        <v>34</v>
      </c>
      <c r="C106" s="71" t="s">
        <v>53</v>
      </c>
      <c r="D106" s="71">
        <v>319</v>
      </c>
      <c r="E106" s="92" t="s">
        <v>54</v>
      </c>
      <c r="F106" s="115" t="s">
        <v>380</v>
      </c>
      <c r="G106" s="120" t="s">
        <v>706</v>
      </c>
      <c r="H106" s="61"/>
      <c r="I106" s="93">
        <v>45582</v>
      </c>
      <c r="J106" s="66" t="s">
        <v>37</v>
      </c>
      <c r="K106" s="66" t="s">
        <v>37</v>
      </c>
      <c r="L106" s="66" t="s">
        <v>37</v>
      </c>
      <c r="M106" s="66" t="s">
        <v>37</v>
      </c>
      <c r="N106" s="70" t="s">
        <v>37</v>
      </c>
      <c r="O106" s="166"/>
      <c r="P106" s="6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</row>
    <row r="107" spans="1:39" x14ac:dyDescent="0.3">
      <c r="A107" s="44" t="s">
        <v>38</v>
      </c>
      <c r="B107" s="96" t="s">
        <v>34</v>
      </c>
      <c r="C107" s="71" t="s">
        <v>53</v>
      </c>
      <c r="D107" s="71">
        <v>320</v>
      </c>
      <c r="E107" s="92" t="s">
        <v>54</v>
      </c>
      <c r="F107" s="115" t="s">
        <v>380</v>
      </c>
      <c r="G107" s="120" t="s">
        <v>706</v>
      </c>
      <c r="H107" s="61"/>
      <c r="I107" s="93">
        <v>45582</v>
      </c>
      <c r="J107" s="66" t="s">
        <v>37</v>
      </c>
      <c r="K107" s="66" t="s">
        <v>37</v>
      </c>
      <c r="L107" s="66" t="s">
        <v>37</v>
      </c>
      <c r="M107" s="66" t="s">
        <v>37</v>
      </c>
      <c r="N107" s="70" t="s">
        <v>37</v>
      </c>
      <c r="O107" s="166"/>
      <c r="P107" s="6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</row>
    <row r="108" spans="1:39" x14ac:dyDescent="0.3">
      <c r="A108" s="44" t="s">
        <v>38</v>
      </c>
      <c r="B108" s="96" t="s">
        <v>34</v>
      </c>
      <c r="C108" s="71" t="s">
        <v>53</v>
      </c>
      <c r="D108" s="66">
        <v>321</v>
      </c>
      <c r="E108" s="101" t="s">
        <v>77</v>
      </c>
      <c r="F108" s="115" t="s">
        <v>380</v>
      </c>
      <c r="G108" s="120" t="s">
        <v>762</v>
      </c>
      <c r="H108" s="61"/>
      <c r="I108" s="93">
        <v>45695</v>
      </c>
      <c r="J108" s="66" t="s">
        <v>37</v>
      </c>
      <c r="K108" s="66" t="s">
        <v>37</v>
      </c>
      <c r="L108" s="66" t="s">
        <v>37</v>
      </c>
      <c r="M108" s="66" t="s">
        <v>37</v>
      </c>
      <c r="N108" s="70" t="s">
        <v>37</v>
      </c>
      <c r="O108" s="166"/>
      <c r="P108" s="6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</row>
    <row r="109" spans="1:39" x14ac:dyDescent="0.3">
      <c r="A109" s="44" t="s">
        <v>38</v>
      </c>
      <c r="B109" s="96" t="s">
        <v>34</v>
      </c>
      <c r="C109" s="71" t="s">
        <v>53</v>
      </c>
      <c r="D109" s="58">
        <v>322</v>
      </c>
      <c r="E109" s="127" t="s">
        <v>77</v>
      </c>
      <c r="F109" s="115" t="s">
        <v>380</v>
      </c>
      <c r="G109" s="120" t="s">
        <v>754</v>
      </c>
      <c r="H109" s="68"/>
      <c r="I109" s="145">
        <v>45840</v>
      </c>
      <c r="J109" s="149" t="s">
        <v>37</v>
      </c>
      <c r="K109" s="149" t="s">
        <v>37</v>
      </c>
      <c r="L109" s="149" t="s">
        <v>37</v>
      </c>
      <c r="M109" s="149" t="s">
        <v>37</v>
      </c>
      <c r="N109" s="64" t="s">
        <v>37</v>
      </c>
      <c r="O109" s="166"/>
      <c r="P109" s="6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</row>
    <row r="110" spans="1:39" x14ac:dyDescent="0.3">
      <c r="A110" s="44" t="s">
        <v>38</v>
      </c>
      <c r="B110" s="96" t="s">
        <v>34</v>
      </c>
      <c r="C110" s="71" t="s">
        <v>53</v>
      </c>
      <c r="D110" s="71">
        <v>323</v>
      </c>
      <c r="E110" s="100" t="s">
        <v>105</v>
      </c>
      <c r="F110" s="115" t="s">
        <v>380</v>
      </c>
      <c r="G110" s="120" t="s">
        <v>726</v>
      </c>
      <c r="H110" s="61"/>
      <c r="I110" s="93">
        <v>45604</v>
      </c>
      <c r="J110" s="66" t="s">
        <v>37</v>
      </c>
      <c r="K110" s="66" t="s">
        <v>37</v>
      </c>
      <c r="L110" s="66" t="s">
        <v>37</v>
      </c>
      <c r="M110" s="66" t="s">
        <v>37</v>
      </c>
      <c r="N110" s="70" t="s">
        <v>37</v>
      </c>
      <c r="O110" s="166"/>
      <c r="P110" s="6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</row>
    <row r="111" spans="1:39" x14ac:dyDescent="0.3">
      <c r="A111" s="44" t="s">
        <v>38</v>
      </c>
      <c r="B111" s="96" t="s">
        <v>34</v>
      </c>
      <c r="C111" s="71" t="s">
        <v>53</v>
      </c>
      <c r="D111" s="66">
        <v>324</v>
      </c>
      <c r="E111" s="101" t="s">
        <v>77</v>
      </c>
      <c r="F111" s="115" t="s">
        <v>380</v>
      </c>
      <c r="G111" s="120" t="s">
        <v>763</v>
      </c>
      <c r="H111" s="61"/>
      <c r="I111" s="93">
        <v>45642</v>
      </c>
      <c r="J111" s="66" t="s">
        <v>37</v>
      </c>
      <c r="K111" s="66" t="s">
        <v>37</v>
      </c>
      <c r="L111" s="66" t="s">
        <v>37</v>
      </c>
      <c r="M111" s="66" t="s">
        <v>37</v>
      </c>
      <c r="N111" s="70" t="s">
        <v>37</v>
      </c>
      <c r="O111" s="166"/>
      <c r="P111" s="6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</row>
    <row r="112" spans="1:39" x14ac:dyDescent="0.3">
      <c r="A112" s="44" t="s">
        <v>38</v>
      </c>
      <c r="B112" s="96" t="s">
        <v>34</v>
      </c>
      <c r="C112" s="71" t="s">
        <v>53</v>
      </c>
      <c r="D112" s="58">
        <v>417</v>
      </c>
      <c r="E112" s="110" t="s">
        <v>82</v>
      </c>
      <c r="F112" s="115" t="s">
        <v>380</v>
      </c>
      <c r="G112" s="120" t="s">
        <v>764</v>
      </c>
      <c r="H112" s="61"/>
      <c r="I112" s="62">
        <v>45642</v>
      </c>
      <c r="J112" s="63" t="s">
        <v>37</v>
      </c>
      <c r="K112" s="63" t="s">
        <v>37</v>
      </c>
      <c r="L112" s="63" t="s">
        <v>37</v>
      </c>
      <c r="M112" s="63" t="s">
        <v>37</v>
      </c>
      <c r="N112" s="64" t="s">
        <v>37</v>
      </c>
      <c r="O112" s="166"/>
      <c r="P112" s="6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</row>
    <row r="113" spans="1:39" x14ac:dyDescent="0.3">
      <c r="A113" s="44" t="s">
        <v>38</v>
      </c>
      <c r="B113" s="96" t="s">
        <v>34</v>
      </c>
      <c r="C113" s="71" t="s">
        <v>53</v>
      </c>
      <c r="D113" s="71">
        <v>418</v>
      </c>
      <c r="E113" s="92" t="s">
        <v>54</v>
      </c>
      <c r="F113" s="115" t="s">
        <v>380</v>
      </c>
      <c r="G113" s="120" t="s">
        <v>706</v>
      </c>
      <c r="H113" s="61"/>
      <c r="I113" s="93">
        <v>45582</v>
      </c>
      <c r="J113" s="66" t="s">
        <v>37</v>
      </c>
      <c r="K113" s="66" t="s">
        <v>37</v>
      </c>
      <c r="L113" s="66" t="s">
        <v>37</v>
      </c>
      <c r="M113" s="66" t="s">
        <v>37</v>
      </c>
      <c r="N113" s="70" t="s">
        <v>37</v>
      </c>
      <c r="O113" s="166"/>
      <c r="P113" s="6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</row>
    <row r="114" spans="1:39" x14ac:dyDescent="0.3">
      <c r="A114" s="44" t="s">
        <v>38</v>
      </c>
      <c r="B114" s="96" t="s">
        <v>34</v>
      </c>
      <c r="C114" s="71" t="s">
        <v>53</v>
      </c>
      <c r="D114" s="71">
        <v>419</v>
      </c>
      <c r="E114" s="92" t="s">
        <v>54</v>
      </c>
      <c r="F114" s="115" t="s">
        <v>380</v>
      </c>
      <c r="G114" s="120" t="s">
        <v>706</v>
      </c>
      <c r="H114" s="61"/>
      <c r="I114" s="93">
        <v>45582</v>
      </c>
      <c r="J114" s="66" t="s">
        <v>37</v>
      </c>
      <c r="K114" s="66" t="s">
        <v>37</v>
      </c>
      <c r="L114" s="66" t="s">
        <v>37</v>
      </c>
      <c r="M114" s="66" t="s">
        <v>37</v>
      </c>
      <c r="N114" s="70" t="s">
        <v>37</v>
      </c>
      <c r="O114" s="166"/>
      <c r="P114" s="6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</row>
    <row r="115" spans="1:39" x14ac:dyDescent="0.3">
      <c r="A115" s="44" t="s">
        <v>38</v>
      </c>
      <c r="B115" s="96" t="s">
        <v>34</v>
      </c>
      <c r="C115" s="71" t="s">
        <v>53</v>
      </c>
      <c r="D115" s="71">
        <v>420</v>
      </c>
      <c r="E115" s="92" t="s">
        <v>54</v>
      </c>
      <c r="F115" s="115" t="s">
        <v>380</v>
      </c>
      <c r="G115" s="120" t="s">
        <v>706</v>
      </c>
      <c r="H115" s="61"/>
      <c r="I115" s="93">
        <v>45582</v>
      </c>
      <c r="J115" s="66" t="s">
        <v>37</v>
      </c>
      <c r="K115" s="66" t="s">
        <v>37</v>
      </c>
      <c r="L115" s="66" t="s">
        <v>37</v>
      </c>
      <c r="M115" s="66" t="s">
        <v>37</v>
      </c>
      <c r="N115" s="70" t="s">
        <v>37</v>
      </c>
      <c r="O115" s="166"/>
      <c r="P115" s="6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</row>
    <row r="116" spans="1:39" x14ac:dyDescent="0.3">
      <c r="A116" s="44" t="s">
        <v>38</v>
      </c>
      <c r="B116" s="96" t="s">
        <v>34</v>
      </c>
      <c r="C116" s="71" t="s">
        <v>53</v>
      </c>
      <c r="D116" s="71">
        <v>421</v>
      </c>
      <c r="E116" s="99" t="s">
        <v>77</v>
      </c>
      <c r="F116" s="115" t="s">
        <v>380</v>
      </c>
      <c r="G116" s="120" t="s">
        <v>765</v>
      </c>
      <c r="H116" s="61"/>
      <c r="I116" s="93">
        <v>45813</v>
      </c>
      <c r="J116" s="96" t="s">
        <v>37</v>
      </c>
      <c r="K116" s="96" t="s">
        <v>37</v>
      </c>
      <c r="L116" s="96" t="s">
        <v>37</v>
      </c>
      <c r="M116" s="96" t="s">
        <v>37</v>
      </c>
      <c r="N116" s="114" t="s">
        <v>37</v>
      </c>
      <c r="O116" s="166"/>
      <c r="P116" s="6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</row>
    <row r="117" spans="1:39" x14ac:dyDescent="0.3">
      <c r="A117" s="49" t="s">
        <v>38</v>
      </c>
      <c r="B117" s="96" t="s">
        <v>34</v>
      </c>
      <c r="C117" s="164" t="s">
        <v>53</v>
      </c>
      <c r="D117" s="71">
        <v>424</v>
      </c>
      <c r="E117" s="99" t="s">
        <v>77</v>
      </c>
      <c r="F117" s="186" t="s">
        <v>380</v>
      </c>
      <c r="G117" s="120" t="s">
        <v>720</v>
      </c>
      <c r="H117" s="90"/>
      <c r="I117" s="167">
        <v>45856</v>
      </c>
      <c r="J117" s="177" t="s">
        <v>37</v>
      </c>
      <c r="K117" s="177" t="s">
        <v>37</v>
      </c>
      <c r="L117" s="177" t="s">
        <v>37</v>
      </c>
      <c r="M117" s="177" t="s">
        <v>37</v>
      </c>
      <c r="N117" s="177" t="s">
        <v>37</v>
      </c>
      <c r="O117" s="174" t="s">
        <v>766</v>
      </c>
      <c r="P117" s="168" t="s">
        <v>747</v>
      </c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</row>
    <row r="118" spans="1:39" x14ac:dyDescent="0.3">
      <c r="A118" s="44" t="s">
        <v>38</v>
      </c>
      <c r="B118" s="96" t="s">
        <v>34</v>
      </c>
      <c r="C118" s="71" t="s">
        <v>53</v>
      </c>
      <c r="D118" s="71">
        <v>423</v>
      </c>
      <c r="E118" s="92" t="s">
        <v>54</v>
      </c>
      <c r="F118" s="115" t="s">
        <v>380</v>
      </c>
      <c r="G118" s="120" t="s">
        <v>706</v>
      </c>
      <c r="H118" s="61"/>
      <c r="I118" s="93">
        <v>45582</v>
      </c>
      <c r="J118" s="165" t="s">
        <v>37</v>
      </c>
      <c r="K118" s="165" t="s">
        <v>37</v>
      </c>
      <c r="L118" s="165" t="s">
        <v>37</v>
      </c>
      <c r="M118" s="165" t="s">
        <v>37</v>
      </c>
      <c r="N118" s="173" t="s">
        <v>37</v>
      </c>
      <c r="O118" s="166"/>
      <c r="P118" s="6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</row>
    <row r="119" spans="1:39" x14ac:dyDescent="0.3">
      <c r="A119" s="49" t="s">
        <v>38</v>
      </c>
      <c r="B119" s="96" t="s">
        <v>39</v>
      </c>
      <c r="C119" s="164" t="s">
        <v>57</v>
      </c>
      <c r="D119" s="71">
        <v>425</v>
      </c>
      <c r="E119" s="99" t="s">
        <v>77</v>
      </c>
      <c r="F119" s="333" t="s">
        <v>694</v>
      </c>
      <c r="G119" s="120"/>
      <c r="H119" s="68"/>
      <c r="I119" s="167">
        <v>45933</v>
      </c>
      <c r="J119" s="71" t="s">
        <v>37</v>
      </c>
      <c r="K119" s="71" t="s">
        <v>37</v>
      </c>
      <c r="L119" s="71" t="s">
        <v>38</v>
      </c>
      <c r="M119" s="71" t="s">
        <v>38</v>
      </c>
      <c r="N119" s="71" t="s">
        <v>38</v>
      </c>
      <c r="O119" s="174" t="s">
        <v>722</v>
      </c>
      <c r="P119" s="168" t="s">
        <v>767</v>
      </c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</row>
    <row r="120" spans="1:39" x14ac:dyDescent="0.3">
      <c r="A120" s="44" t="s">
        <v>38</v>
      </c>
      <c r="B120" s="96" t="s">
        <v>34</v>
      </c>
      <c r="C120" s="71" t="s">
        <v>53</v>
      </c>
      <c r="D120" s="71">
        <v>517</v>
      </c>
      <c r="E120" s="92" t="s">
        <v>54</v>
      </c>
      <c r="F120" s="115" t="s">
        <v>380</v>
      </c>
      <c r="G120" s="120" t="s">
        <v>706</v>
      </c>
      <c r="H120" s="61"/>
      <c r="I120" s="93">
        <v>45582</v>
      </c>
      <c r="J120" s="87" t="s">
        <v>37</v>
      </c>
      <c r="K120" s="87" t="s">
        <v>37</v>
      </c>
      <c r="L120" s="87" t="s">
        <v>37</v>
      </c>
      <c r="M120" s="87" t="s">
        <v>37</v>
      </c>
      <c r="N120" s="172" t="s">
        <v>37</v>
      </c>
      <c r="O120" s="166"/>
      <c r="P120" s="6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</row>
    <row r="121" spans="1:39" x14ac:dyDescent="0.3">
      <c r="A121" s="44" t="s">
        <v>38</v>
      </c>
      <c r="B121" s="96" t="s">
        <v>34</v>
      </c>
      <c r="C121" s="71" t="s">
        <v>53</v>
      </c>
      <c r="D121" s="71">
        <v>518</v>
      </c>
      <c r="E121" s="92" t="s">
        <v>54</v>
      </c>
      <c r="F121" s="115" t="s">
        <v>380</v>
      </c>
      <c r="G121" s="120" t="s">
        <v>706</v>
      </c>
      <c r="H121" s="61"/>
      <c r="I121" s="93">
        <v>45582</v>
      </c>
      <c r="J121" s="66" t="s">
        <v>37</v>
      </c>
      <c r="K121" s="66" t="s">
        <v>37</v>
      </c>
      <c r="L121" s="66" t="s">
        <v>37</v>
      </c>
      <c r="M121" s="66" t="s">
        <v>37</v>
      </c>
      <c r="N121" s="70" t="s">
        <v>37</v>
      </c>
      <c r="O121" s="166"/>
      <c r="P121" s="6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</row>
    <row r="122" spans="1:39" x14ac:dyDescent="0.3">
      <c r="A122" s="44" t="s">
        <v>38</v>
      </c>
      <c r="B122" s="96" t="s">
        <v>34</v>
      </c>
      <c r="C122" s="71" t="s">
        <v>53</v>
      </c>
      <c r="D122" s="71">
        <v>519</v>
      </c>
      <c r="E122" s="92" t="s">
        <v>54</v>
      </c>
      <c r="F122" s="115" t="s">
        <v>380</v>
      </c>
      <c r="G122" s="120" t="s">
        <v>706</v>
      </c>
      <c r="H122" s="61"/>
      <c r="I122" s="93">
        <v>45582</v>
      </c>
      <c r="J122" s="66" t="s">
        <v>37</v>
      </c>
      <c r="K122" s="66" t="s">
        <v>37</v>
      </c>
      <c r="L122" s="66" t="s">
        <v>37</v>
      </c>
      <c r="M122" s="66" t="s">
        <v>37</v>
      </c>
      <c r="N122" s="70" t="s">
        <v>37</v>
      </c>
      <c r="O122" s="166"/>
      <c r="P122" s="6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</row>
    <row r="123" spans="1:39" x14ac:dyDescent="0.3">
      <c r="A123" s="44" t="s">
        <v>38</v>
      </c>
      <c r="B123" s="96" t="s">
        <v>34</v>
      </c>
      <c r="C123" s="71" t="s">
        <v>53</v>
      </c>
      <c r="D123" s="71">
        <v>520</v>
      </c>
      <c r="E123" s="92" t="s">
        <v>54</v>
      </c>
      <c r="F123" s="115" t="s">
        <v>380</v>
      </c>
      <c r="G123" s="120" t="s">
        <v>706</v>
      </c>
      <c r="H123" s="61"/>
      <c r="I123" s="93">
        <v>45582</v>
      </c>
      <c r="J123" s="96" t="s">
        <v>37</v>
      </c>
      <c r="K123" s="96" t="s">
        <v>37</v>
      </c>
      <c r="L123" s="96" t="s">
        <v>37</v>
      </c>
      <c r="M123" s="96" t="s">
        <v>37</v>
      </c>
      <c r="N123" s="114" t="s">
        <v>37</v>
      </c>
      <c r="O123" s="166"/>
      <c r="P123" s="6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</row>
    <row r="124" spans="1:39" x14ac:dyDescent="0.3">
      <c r="A124" s="49" t="s">
        <v>38</v>
      </c>
      <c r="B124" s="96" t="s">
        <v>39</v>
      </c>
      <c r="C124" s="164" t="s">
        <v>57</v>
      </c>
      <c r="D124" s="71">
        <v>426</v>
      </c>
      <c r="E124" s="99" t="s">
        <v>77</v>
      </c>
      <c r="F124" s="186" t="s">
        <v>380</v>
      </c>
      <c r="G124" s="120" t="s">
        <v>754</v>
      </c>
      <c r="H124" s="90"/>
      <c r="I124" s="167">
        <v>45860</v>
      </c>
      <c r="J124" s="177" t="s">
        <v>37</v>
      </c>
      <c r="K124" s="177" t="s">
        <v>37</v>
      </c>
      <c r="L124" s="177" t="s">
        <v>37</v>
      </c>
      <c r="M124" s="177" t="s">
        <v>37</v>
      </c>
      <c r="N124" s="177" t="s">
        <v>37</v>
      </c>
      <c r="O124" s="175" t="s">
        <v>722</v>
      </c>
      <c r="P124" s="168" t="s">
        <v>768</v>
      </c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</row>
    <row r="125" spans="1:39" x14ac:dyDescent="0.3">
      <c r="A125" s="49" t="s">
        <v>38</v>
      </c>
      <c r="B125" s="96" t="s">
        <v>34</v>
      </c>
      <c r="C125" s="164" t="s">
        <v>97</v>
      </c>
      <c r="D125" s="71">
        <v>503</v>
      </c>
      <c r="E125" s="99" t="s">
        <v>77</v>
      </c>
      <c r="F125" s="184" t="s">
        <v>380</v>
      </c>
      <c r="G125" s="120" t="s">
        <v>769</v>
      </c>
      <c r="H125" s="68"/>
      <c r="I125" s="167">
        <v>45849</v>
      </c>
      <c r="J125" s="177" t="s">
        <v>37</v>
      </c>
      <c r="K125" s="177" t="s">
        <v>37</v>
      </c>
      <c r="L125" s="177" t="s">
        <v>37</v>
      </c>
      <c r="M125" s="177" t="s">
        <v>37</v>
      </c>
      <c r="N125" s="177" t="s">
        <v>37</v>
      </c>
      <c r="O125" s="174" t="s">
        <v>722</v>
      </c>
      <c r="P125" s="168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</row>
    <row r="126" spans="1:39" x14ac:dyDescent="0.3">
      <c r="A126" s="44" t="s">
        <v>38</v>
      </c>
      <c r="B126" s="96" t="s">
        <v>34</v>
      </c>
      <c r="C126" s="71" t="s">
        <v>53</v>
      </c>
      <c r="D126" s="71">
        <v>523</v>
      </c>
      <c r="E126" s="100" t="s">
        <v>105</v>
      </c>
      <c r="F126" s="115" t="s">
        <v>380</v>
      </c>
      <c r="G126" s="120" t="s">
        <v>726</v>
      </c>
      <c r="H126" s="61"/>
      <c r="I126" s="93">
        <v>45604</v>
      </c>
      <c r="J126" s="165" t="s">
        <v>37</v>
      </c>
      <c r="K126" s="165" t="s">
        <v>37</v>
      </c>
      <c r="L126" s="165" t="s">
        <v>37</v>
      </c>
      <c r="M126" s="165" t="s">
        <v>37</v>
      </c>
      <c r="N126" s="173" t="s">
        <v>37</v>
      </c>
      <c r="O126" s="166"/>
      <c r="P126" s="6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</row>
    <row r="127" spans="1:39" x14ac:dyDescent="0.3">
      <c r="A127" s="49" t="s">
        <v>38</v>
      </c>
      <c r="B127" s="96" t="s">
        <v>34</v>
      </c>
      <c r="C127" s="164" t="s">
        <v>97</v>
      </c>
      <c r="D127" s="73">
        <v>504</v>
      </c>
      <c r="E127" s="74" t="s">
        <v>77</v>
      </c>
      <c r="F127" s="60" t="s">
        <v>380</v>
      </c>
      <c r="G127" s="120" t="s">
        <v>770</v>
      </c>
      <c r="H127" s="68"/>
      <c r="I127" s="247">
        <v>45987</v>
      </c>
      <c r="J127" s="71" t="s">
        <v>37</v>
      </c>
      <c r="K127" s="71" t="s">
        <v>37</v>
      </c>
      <c r="L127" s="71" t="s">
        <v>37</v>
      </c>
      <c r="M127" s="71" t="s">
        <v>37</v>
      </c>
      <c r="N127" s="71" t="s">
        <v>37</v>
      </c>
      <c r="O127" s="174" t="s">
        <v>35</v>
      </c>
      <c r="P127" s="168" t="s">
        <v>771</v>
      </c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</row>
    <row r="128" spans="1:39" x14ac:dyDescent="0.3">
      <c r="A128" s="49" t="s">
        <v>38</v>
      </c>
      <c r="B128" s="96" t="s">
        <v>34</v>
      </c>
      <c r="C128" s="164" t="s">
        <v>97</v>
      </c>
      <c r="D128" s="71">
        <v>505</v>
      </c>
      <c r="E128" s="99" t="s">
        <v>77</v>
      </c>
      <c r="F128" s="60" t="s">
        <v>380</v>
      </c>
      <c r="G128" s="120" t="s">
        <v>772</v>
      </c>
      <c r="H128" s="68"/>
      <c r="I128" s="167">
        <v>45894</v>
      </c>
      <c r="J128" s="71" t="s">
        <v>37</v>
      </c>
      <c r="K128" s="71" t="s">
        <v>37</v>
      </c>
      <c r="L128" s="71" t="s">
        <v>37</v>
      </c>
      <c r="M128" s="71" t="s">
        <v>37</v>
      </c>
      <c r="N128" s="71" t="s">
        <v>37</v>
      </c>
      <c r="O128" s="174" t="s">
        <v>37</v>
      </c>
      <c r="P128" s="168" t="s">
        <v>773</v>
      </c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</row>
    <row r="129" spans="1:39" x14ac:dyDescent="0.3">
      <c r="A129" s="49" t="s">
        <v>38</v>
      </c>
      <c r="B129" s="96" t="s">
        <v>34</v>
      </c>
      <c r="C129" s="164" t="s">
        <v>97</v>
      </c>
      <c r="D129" s="71">
        <v>506</v>
      </c>
      <c r="E129" s="99" t="s">
        <v>77</v>
      </c>
      <c r="F129" s="60" t="s">
        <v>380</v>
      </c>
      <c r="G129" s="120" t="s">
        <v>772</v>
      </c>
      <c r="H129" s="68"/>
      <c r="I129" s="167">
        <v>45933</v>
      </c>
      <c r="J129" s="71" t="s">
        <v>37</v>
      </c>
      <c r="K129" s="71" t="s">
        <v>37</v>
      </c>
      <c r="L129" s="71" t="s">
        <v>38</v>
      </c>
      <c r="M129" s="71" t="s">
        <v>38</v>
      </c>
      <c r="N129" s="71" t="s">
        <v>38</v>
      </c>
      <c r="O129" s="174" t="s">
        <v>722</v>
      </c>
      <c r="P129" s="168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</row>
    <row r="130" spans="1:39" x14ac:dyDescent="0.3">
      <c r="A130" s="44" t="s">
        <v>38</v>
      </c>
      <c r="B130" s="96" t="s">
        <v>39</v>
      </c>
      <c r="C130" s="71" t="s">
        <v>57</v>
      </c>
      <c r="D130" s="71">
        <v>127</v>
      </c>
      <c r="E130" s="100" t="s">
        <v>105</v>
      </c>
      <c r="F130" s="60" t="s">
        <v>380</v>
      </c>
      <c r="G130" s="120" t="s">
        <v>718</v>
      </c>
      <c r="H130" s="61"/>
      <c r="I130" s="93">
        <v>45589</v>
      </c>
      <c r="J130" s="165" t="s">
        <v>37</v>
      </c>
      <c r="K130" s="165" t="s">
        <v>37</v>
      </c>
      <c r="L130" s="165" t="s">
        <v>37</v>
      </c>
      <c r="M130" s="165" t="s">
        <v>37</v>
      </c>
      <c r="N130" s="173" t="s">
        <v>37</v>
      </c>
      <c r="O130" s="166"/>
      <c r="P130" s="6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</row>
    <row r="131" spans="1:39" x14ac:dyDescent="0.3">
      <c r="A131" s="49" t="s">
        <v>38</v>
      </c>
      <c r="B131" s="96" t="s">
        <v>34</v>
      </c>
      <c r="C131" s="164" t="s">
        <v>65</v>
      </c>
      <c r="D131" s="71">
        <v>509</v>
      </c>
      <c r="E131" s="99" t="s">
        <v>77</v>
      </c>
      <c r="F131" s="184" t="s">
        <v>380</v>
      </c>
      <c r="G131" s="120" t="s">
        <v>720</v>
      </c>
      <c r="H131" s="90"/>
      <c r="I131" s="167">
        <v>45877</v>
      </c>
      <c r="J131" s="77" t="s">
        <v>37</v>
      </c>
      <c r="K131" s="77" t="s">
        <v>37</v>
      </c>
      <c r="L131" s="77"/>
      <c r="M131" s="77" t="s">
        <v>37</v>
      </c>
      <c r="N131" s="77" t="s">
        <v>38</v>
      </c>
      <c r="O131" s="174" t="s">
        <v>722</v>
      </c>
      <c r="P131" s="168" t="s">
        <v>774</v>
      </c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</row>
    <row r="132" spans="1:39" x14ac:dyDescent="0.3">
      <c r="A132" s="44" t="s">
        <v>38</v>
      </c>
      <c r="B132" s="96" t="s">
        <v>39</v>
      </c>
      <c r="C132" s="71" t="s">
        <v>57</v>
      </c>
      <c r="D132" s="71">
        <v>129</v>
      </c>
      <c r="E132" s="92" t="s">
        <v>54</v>
      </c>
      <c r="F132" s="115" t="s">
        <v>380</v>
      </c>
      <c r="G132" s="120" t="s">
        <v>706</v>
      </c>
      <c r="H132" s="61"/>
      <c r="I132" s="93">
        <v>45582</v>
      </c>
      <c r="J132" s="87" t="s">
        <v>37</v>
      </c>
      <c r="K132" s="87" t="s">
        <v>37</v>
      </c>
      <c r="L132" s="87" t="s">
        <v>37</v>
      </c>
      <c r="M132" s="87" t="s">
        <v>37</v>
      </c>
      <c r="N132" s="172" t="s">
        <v>37</v>
      </c>
      <c r="O132" s="166"/>
      <c r="P132" s="6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</row>
    <row r="133" spans="1:39" x14ac:dyDescent="0.3">
      <c r="A133" s="44" t="s">
        <v>38</v>
      </c>
      <c r="B133" s="96" t="s">
        <v>39</v>
      </c>
      <c r="C133" s="71" t="s">
        <v>57</v>
      </c>
      <c r="D133" s="71">
        <v>130</v>
      </c>
      <c r="E133" s="131" t="s">
        <v>54</v>
      </c>
      <c r="F133" s="115" t="s">
        <v>380</v>
      </c>
      <c r="G133" s="120" t="s">
        <v>706</v>
      </c>
      <c r="H133" s="61"/>
      <c r="I133" s="144">
        <v>45582</v>
      </c>
      <c r="J133" s="150" t="s">
        <v>37</v>
      </c>
      <c r="K133" s="150" t="s">
        <v>37</v>
      </c>
      <c r="L133" s="150" t="s">
        <v>37</v>
      </c>
      <c r="M133" s="150" t="s">
        <v>37</v>
      </c>
      <c r="N133" s="70" t="s">
        <v>37</v>
      </c>
      <c r="O133" s="166"/>
      <c r="P133" s="6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</row>
    <row r="134" spans="1:39" x14ac:dyDescent="0.3">
      <c r="A134" s="44" t="s">
        <v>38</v>
      </c>
      <c r="B134" s="96" t="s">
        <v>39</v>
      </c>
      <c r="C134" s="71" t="s">
        <v>57</v>
      </c>
      <c r="D134" s="71">
        <v>131</v>
      </c>
      <c r="E134" s="131" t="s">
        <v>54</v>
      </c>
      <c r="F134" s="115" t="s">
        <v>380</v>
      </c>
      <c r="G134" s="120" t="s">
        <v>706</v>
      </c>
      <c r="H134" s="61"/>
      <c r="I134" s="144">
        <v>45582</v>
      </c>
      <c r="J134" s="150" t="s">
        <v>37</v>
      </c>
      <c r="K134" s="150" t="s">
        <v>37</v>
      </c>
      <c r="L134" s="150" t="s">
        <v>37</v>
      </c>
      <c r="M134" s="150" t="s">
        <v>37</v>
      </c>
      <c r="N134" s="70" t="s">
        <v>37</v>
      </c>
      <c r="O134" s="166"/>
      <c r="P134" s="6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</row>
    <row r="135" spans="1:39" x14ac:dyDescent="0.3">
      <c r="A135" s="44" t="s">
        <v>38</v>
      </c>
      <c r="B135" s="96" t="s">
        <v>39</v>
      </c>
      <c r="C135" s="71" t="s">
        <v>57</v>
      </c>
      <c r="D135" s="71">
        <v>132</v>
      </c>
      <c r="E135" s="131" t="s">
        <v>54</v>
      </c>
      <c r="F135" s="115" t="s">
        <v>380</v>
      </c>
      <c r="G135" s="120" t="s">
        <v>706</v>
      </c>
      <c r="H135" s="61"/>
      <c r="I135" s="144">
        <v>45582</v>
      </c>
      <c r="J135" s="150" t="s">
        <v>37</v>
      </c>
      <c r="K135" s="150" t="s">
        <v>37</v>
      </c>
      <c r="L135" s="150" t="s">
        <v>37</v>
      </c>
      <c r="M135" s="150" t="s">
        <v>37</v>
      </c>
      <c r="N135" s="70" t="s">
        <v>37</v>
      </c>
      <c r="O135" s="166"/>
      <c r="P135" s="6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</row>
    <row r="136" spans="1:39" x14ac:dyDescent="0.3">
      <c r="A136" s="44" t="s">
        <v>38</v>
      </c>
      <c r="B136" s="96" t="s">
        <v>39</v>
      </c>
      <c r="C136" s="71" t="s">
        <v>57</v>
      </c>
      <c r="D136" s="71">
        <v>225</v>
      </c>
      <c r="E136" s="99" t="s">
        <v>77</v>
      </c>
      <c r="F136" s="115" t="s">
        <v>380</v>
      </c>
      <c r="G136" s="120" t="s">
        <v>759</v>
      </c>
      <c r="H136" s="61"/>
      <c r="I136" s="93">
        <v>45659</v>
      </c>
      <c r="J136" s="66" t="s">
        <v>37</v>
      </c>
      <c r="K136" s="66" t="s">
        <v>37</v>
      </c>
      <c r="L136" s="66" t="s">
        <v>37</v>
      </c>
      <c r="M136" s="66" t="s">
        <v>37</v>
      </c>
      <c r="N136" s="70" t="s">
        <v>37</v>
      </c>
      <c r="O136" s="166"/>
      <c r="P136" s="6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</row>
    <row r="137" spans="1:39" x14ac:dyDescent="0.3">
      <c r="A137" s="44" t="s">
        <v>38</v>
      </c>
      <c r="B137" s="96" t="s">
        <v>39</v>
      </c>
      <c r="C137" s="71" t="s">
        <v>57</v>
      </c>
      <c r="D137" s="66">
        <v>226</v>
      </c>
      <c r="E137" s="101" t="s">
        <v>77</v>
      </c>
      <c r="F137" s="115" t="s">
        <v>380</v>
      </c>
      <c r="G137" s="120" t="s">
        <v>713</v>
      </c>
      <c r="H137" s="61"/>
      <c r="I137" s="93">
        <v>45803</v>
      </c>
      <c r="J137" s="66" t="s">
        <v>37</v>
      </c>
      <c r="K137" s="66" t="s">
        <v>37</v>
      </c>
      <c r="L137" s="66" t="s">
        <v>37</v>
      </c>
      <c r="M137" s="66" t="s">
        <v>37</v>
      </c>
      <c r="N137" s="70" t="s">
        <v>37</v>
      </c>
      <c r="O137" s="166"/>
      <c r="P137" s="6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</row>
    <row r="138" spans="1:39" x14ac:dyDescent="0.3">
      <c r="A138" s="44" t="s">
        <v>38</v>
      </c>
      <c r="B138" s="96" t="s">
        <v>39</v>
      </c>
      <c r="C138" s="71" t="s">
        <v>57</v>
      </c>
      <c r="D138" s="58">
        <v>227</v>
      </c>
      <c r="E138" s="88" t="s">
        <v>105</v>
      </c>
      <c r="F138" s="115" t="s">
        <v>380</v>
      </c>
      <c r="G138" s="120" t="s">
        <v>763</v>
      </c>
      <c r="H138" s="61"/>
      <c r="I138" s="62">
        <v>45642</v>
      </c>
      <c r="J138" s="63" t="s">
        <v>37</v>
      </c>
      <c r="K138" s="63" t="s">
        <v>37</v>
      </c>
      <c r="L138" s="63" t="s">
        <v>37</v>
      </c>
      <c r="M138" s="63" t="s">
        <v>37</v>
      </c>
      <c r="N138" s="64" t="s">
        <v>37</v>
      </c>
      <c r="O138" s="166"/>
      <c r="P138" s="6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</row>
    <row r="139" spans="1:39" x14ac:dyDescent="0.3">
      <c r="A139" s="44" t="s">
        <v>38</v>
      </c>
      <c r="B139" s="96" t="s">
        <v>39</v>
      </c>
      <c r="C139" s="71" t="s">
        <v>57</v>
      </c>
      <c r="D139" s="71">
        <v>228</v>
      </c>
      <c r="E139" s="99" t="s">
        <v>77</v>
      </c>
      <c r="F139" s="115" t="s">
        <v>380</v>
      </c>
      <c r="G139" s="120" t="s">
        <v>775</v>
      </c>
      <c r="H139" s="61"/>
      <c r="I139" s="93">
        <v>45656</v>
      </c>
      <c r="J139" s="66" t="s">
        <v>37</v>
      </c>
      <c r="K139" s="66" t="s">
        <v>37</v>
      </c>
      <c r="L139" s="66" t="s">
        <v>37</v>
      </c>
      <c r="M139" s="66" t="s">
        <v>37</v>
      </c>
      <c r="N139" s="70" t="s">
        <v>37</v>
      </c>
      <c r="O139" s="166"/>
      <c r="P139" s="6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</row>
    <row r="140" spans="1:39" x14ac:dyDescent="0.3">
      <c r="A140" s="44" t="s">
        <v>38</v>
      </c>
      <c r="B140" s="96" t="s">
        <v>39</v>
      </c>
      <c r="C140" s="71" t="s">
        <v>57</v>
      </c>
      <c r="D140" s="71">
        <v>229</v>
      </c>
      <c r="E140" s="94" t="s">
        <v>82</v>
      </c>
      <c r="F140" s="115" t="s">
        <v>380</v>
      </c>
      <c r="G140" s="120" t="s">
        <v>717</v>
      </c>
      <c r="H140" s="61"/>
      <c r="I140" s="93">
        <v>45625</v>
      </c>
      <c r="J140" s="66" t="s">
        <v>37</v>
      </c>
      <c r="K140" s="66" t="s">
        <v>37</v>
      </c>
      <c r="L140" s="66" t="s">
        <v>37</v>
      </c>
      <c r="M140" s="66" t="s">
        <v>37</v>
      </c>
      <c r="N140" s="70" t="s">
        <v>37</v>
      </c>
      <c r="O140" s="166"/>
      <c r="P140" s="6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</row>
    <row r="141" spans="1:39" x14ac:dyDescent="0.3">
      <c r="A141" s="44" t="s">
        <v>38</v>
      </c>
      <c r="B141" s="96" t="s">
        <v>39</v>
      </c>
      <c r="C141" s="71" t="s">
        <v>57</v>
      </c>
      <c r="D141" s="71">
        <v>230</v>
      </c>
      <c r="E141" s="92" t="s">
        <v>54</v>
      </c>
      <c r="F141" s="115" t="s">
        <v>380</v>
      </c>
      <c r="G141" s="120" t="s">
        <v>706</v>
      </c>
      <c r="H141" s="61"/>
      <c r="I141" s="93">
        <v>45582</v>
      </c>
      <c r="J141" s="66" t="s">
        <v>37</v>
      </c>
      <c r="K141" s="66" t="s">
        <v>37</v>
      </c>
      <c r="L141" s="66" t="s">
        <v>37</v>
      </c>
      <c r="M141" s="66" t="s">
        <v>37</v>
      </c>
      <c r="N141" s="70" t="s">
        <v>37</v>
      </c>
      <c r="O141" s="166"/>
      <c r="P141" s="6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</row>
    <row r="142" spans="1:39" x14ac:dyDescent="0.3">
      <c r="A142" s="44" t="s">
        <v>38</v>
      </c>
      <c r="B142" s="96" t="s">
        <v>39</v>
      </c>
      <c r="C142" s="71" t="s">
        <v>57</v>
      </c>
      <c r="D142" s="71">
        <v>231</v>
      </c>
      <c r="E142" s="92" t="s">
        <v>54</v>
      </c>
      <c r="F142" s="115" t="s">
        <v>380</v>
      </c>
      <c r="G142" s="122" t="s">
        <v>706</v>
      </c>
      <c r="H142" s="61"/>
      <c r="I142" s="93">
        <v>45582</v>
      </c>
      <c r="J142" s="66" t="s">
        <v>37</v>
      </c>
      <c r="K142" s="66" t="s">
        <v>37</v>
      </c>
      <c r="L142" s="66" t="s">
        <v>37</v>
      </c>
      <c r="M142" s="66" t="s">
        <v>37</v>
      </c>
      <c r="N142" s="70" t="s">
        <v>37</v>
      </c>
      <c r="O142" s="166"/>
      <c r="P142" s="6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</row>
    <row r="143" spans="1:39" x14ac:dyDescent="0.3">
      <c r="A143" s="44" t="s">
        <v>38</v>
      </c>
      <c r="B143" s="96" t="s">
        <v>39</v>
      </c>
      <c r="C143" s="71" t="s">
        <v>57</v>
      </c>
      <c r="D143" s="71">
        <v>232</v>
      </c>
      <c r="E143" s="92" t="s">
        <v>54</v>
      </c>
      <c r="F143" s="115" t="s">
        <v>380</v>
      </c>
      <c r="G143" s="121" t="s">
        <v>706</v>
      </c>
      <c r="H143" s="61"/>
      <c r="I143" s="93">
        <v>45582</v>
      </c>
      <c r="J143" s="96" t="s">
        <v>37</v>
      </c>
      <c r="K143" s="96" t="s">
        <v>37</v>
      </c>
      <c r="L143" s="96" t="s">
        <v>37</v>
      </c>
      <c r="M143" s="96" t="s">
        <v>37</v>
      </c>
      <c r="N143" s="114" t="s">
        <v>37</v>
      </c>
      <c r="O143" s="166"/>
      <c r="P143" s="6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</row>
    <row r="144" spans="1:39" x14ac:dyDescent="0.3">
      <c r="A144" s="49" t="s">
        <v>38</v>
      </c>
      <c r="B144" s="96" t="s">
        <v>34</v>
      </c>
      <c r="C144" s="164" t="s">
        <v>65</v>
      </c>
      <c r="D144" s="71">
        <v>511</v>
      </c>
      <c r="E144" s="99" t="s">
        <v>77</v>
      </c>
      <c r="F144" s="186" t="s">
        <v>380</v>
      </c>
      <c r="G144" s="121" t="s">
        <v>776</v>
      </c>
      <c r="H144" s="68"/>
      <c r="I144" s="167">
        <v>45898</v>
      </c>
      <c r="J144" s="71" t="s">
        <v>37</v>
      </c>
      <c r="K144" s="71" t="s">
        <v>37</v>
      </c>
      <c r="L144" s="71" t="s">
        <v>38</v>
      </c>
      <c r="M144" s="71" t="s">
        <v>38</v>
      </c>
      <c r="N144" s="71" t="s">
        <v>38</v>
      </c>
      <c r="O144" s="174" t="s">
        <v>722</v>
      </c>
      <c r="P144" s="168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</row>
    <row r="145" spans="1:39" x14ac:dyDescent="0.3">
      <c r="A145" s="44" t="s">
        <v>38</v>
      </c>
      <c r="B145" s="96" t="s">
        <v>39</v>
      </c>
      <c r="C145" s="71" t="s">
        <v>57</v>
      </c>
      <c r="D145" s="71">
        <v>326</v>
      </c>
      <c r="E145" s="99" t="s">
        <v>77</v>
      </c>
      <c r="F145" s="115" t="s">
        <v>380</v>
      </c>
      <c r="G145" s="120" t="s">
        <v>729</v>
      </c>
      <c r="H145" s="61"/>
      <c r="I145" s="93">
        <v>45758</v>
      </c>
      <c r="J145" s="87" t="s">
        <v>37</v>
      </c>
      <c r="K145" s="87" t="s">
        <v>37</v>
      </c>
      <c r="L145" s="87" t="s">
        <v>37</v>
      </c>
      <c r="M145" s="87" t="s">
        <v>37</v>
      </c>
      <c r="N145" s="172" t="s">
        <v>37</v>
      </c>
      <c r="O145" s="166"/>
      <c r="P145" s="6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</row>
    <row r="146" spans="1:39" x14ac:dyDescent="0.3">
      <c r="A146" s="44" t="s">
        <v>38</v>
      </c>
      <c r="B146" s="96" t="s">
        <v>39</v>
      </c>
      <c r="C146" s="71" t="s">
        <v>57</v>
      </c>
      <c r="D146" s="71">
        <v>327</v>
      </c>
      <c r="E146" s="92" t="s">
        <v>54</v>
      </c>
      <c r="F146" s="115" t="s">
        <v>380</v>
      </c>
      <c r="G146" s="120" t="s">
        <v>706</v>
      </c>
      <c r="H146" s="61"/>
      <c r="I146" s="102">
        <v>45582</v>
      </c>
      <c r="J146" s="66" t="s">
        <v>37</v>
      </c>
      <c r="K146" s="66" t="s">
        <v>37</v>
      </c>
      <c r="L146" s="66" t="s">
        <v>37</v>
      </c>
      <c r="M146" s="66" t="s">
        <v>37</v>
      </c>
      <c r="N146" s="70" t="s">
        <v>37</v>
      </c>
      <c r="O146" s="166"/>
      <c r="P146" s="6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x14ac:dyDescent="0.3">
      <c r="A147" s="44" t="s">
        <v>38</v>
      </c>
      <c r="B147" s="96" t="s">
        <v>39</v>
      </c>
      <c r="C147" s="71" t="s">
        <v>57</v>
      </c>
      <c r="D147" s="83">
        <v>328</v>
      </c>
      <c r="E147" s="103" t="s">
        <v>77</v>
      </c>
      <c r="F147" s="115" t="s">
        <v>380</v>
      </c>
      <c r="G147" s="120" t="s">
        <v>777</v>
      </c>
      <c r="H147" s="61"/>
      <c r="I147" s="104">
        <v>45611</v>
      </c>
      <c r="J147" s="66" t="s">
        <v>37</v>
      </c>
      <c r="K147" s="66" t="s">
        <v>37</v>
      </c>
      <c r="L147" s="66" t="s">
        <v>37</v>
      </c>
      <c r="M147" s="66" t="s">
        <v>37</v>
      </c>
      <c r="N147" s="70" t="s">
        <v>37</v>
      </c>
      <c r="O147" s="166"/>
      <c r="P147" s="6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</row>
    <row r="148" spans="1:39" x14ac:dyDescent="0.3">
      <c r="A148" s="44" t="s">
        <v>38</v>
      </c>
      <c r="B148" s="96" t="s">
        <v>39</v>
      </c>
      <c r="C148" s="71" t="s">
        <v>57</v>
      </c>
      <c r="D148" s="71">
        <v>329</v>
      </c>
      <c r="E148" s="94" t="s">
        <v>82</v>
      </c>
      <c r="F148" s="115" t="s">
        <v>380</v>
      </c>
      <c r="G148" s="120" t="s">
        <v>726</v>
      </c>
      <c r="H148" s="61"/>
      <c r="I148" s="93">
        <v>45594</v>
      </c>
      <c r="J148" s="66" t="s">
        <v>37</v>
      </c>
      <c r="K148" s="66" t="s">
        <v>37</v>
      </c>
      <c r="L148" s="66" t="s">
        <v>37</v>
      </c>
      <c r="M148" s="66" t="s">
        <v>37</v>
      </c>
      <c r="N148" s="70" t="s">
        <v>37</v>
      </c>
      <c r="O148" s="166"/>
      <c r="P148" s="6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</row>
    <row r="149" spans="1:39" x14ac:dyDescent="0.3">
      <c r="A149" s="44" t="s">
        <v>38</v>
      </c>
      <c r="B149" s="96" t="s">
        <v>39</v>
      </c>
      <c r="C149" s="71" t="s">
        <v>57</v>
      </c>
      <c r="D149" s="91">
        <v>330</v>
      </c>
      <c r="E149" s="105" t="s">
        <v>54</v>
      </c>
      <c r="F149" s="115" t="s">
        <v>380</v>
      </c>
      <c r="G149" s="120" t="s">
        <v>706</v>
      </c>
      <c r="H149" s="61"/>
      <c r="I149" s="62">
        <v>45582</v>
      </c>
      <c r="J149" s="63" t="s">
        <v>37</v>
      </c>
      <c r="K149" s="63" t="s">
        <v>37</v>
      </c>
      <c r="L149" s="63" t="s">
        <v>37</v>
      </c>
      <c r="M149" s="63" t="s">
        <v>37</v>
      </c>
      <c r="N149" s="64" t="s">
        <v>37</v>
      </c>
      <c r="O149" s="166"/>
      <c r="P149" s="6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</row>
    <row r="150" spans="1:39" x14ac:dyDescent="0.3">
      <c r="A150" s="44" t="s">
        <v>38</v>
      </c>
      <c r="B150" s="96" t="s">
        <v>39</v>
      </c>
      <c r="C150" s="71" t="s">
        <v>57</v>
      </c>
      <c r="D150" s="66">
        <v>331</v>
      </c>
      <c r="E150" s="140" t="s">
        <v>54</v>
      </c>
      <c r="F150" s="115" t="s">
        <v>380</v>
      </c>
      <c r="G150" s="120" t="s">
        <v>706</v>
      </c>
      <c r="H150" s="61"/>
      <c r="I150" s="93">
        <v>45582</v>
      </c>
      <c r="J150" s="66" t="s">
        <v>37</v>
      </c>
      <c r="K150" s="66" t="s">
        <v>37</v>
      </c>
      <c r="L150" s="66" t="s">
        <v>37</v>
      </c>
      <c r="M150" s="66" t="s">
        <v>37</v>
      </c>
      <c r="N150" s="70" t="s">
        <v>37</v>
      </c>
      <c r="O150" s="166"/>
      <c r="P150" s="6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</row>
    <row r="151" spans="1:39" x14ac:dyDescent="0.3">
      <c r="A151" s="44" t="s">
        <v>38</v>
      </c>
      <c r="B151" s="96" t="s">
        <v>39</v>
      </c>
      <c r="C151" s="71" t="s">
        <v>57</v>
      </c>
      <c r="D151" s="66">
        <v>332</v>
      </c>
      <c r="E151" s="140" t="s">
        <v>54</v>
      </c>
      <c r="F151" s="115" t="s">
        <v>380</v>
      </c>
      <c r="G151" s="120" t="s">
        <v>706</v>
      </c>
      <c r="H151" s="61"/>
      <c r="I151" s="93">
        <v>45582</v>
      </c>
      <c r="J151" s="96" t="s">
        <v>37</v>
      </c>
      <c r="K151" s="96" t="s">
        <v>37</v>
      </c>
      <c r="L151" s="96" t="s">
        <v>37</v>
      </c>
      <c r="M151" s="96" t="s">
        <v>37</v>
      </c>
      <c r="N151" s="114" t="s">
        <v>37</v>
      </c>
      <c r="O151" s="166"/>
      <c r="P151" s="6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</row>
    <row r="152" spans="1:39" x14ac:dyDescent="0.3">
      <c r="A152" s="49" t="s">
        <v>38</v>
      </c>
      <c r="B152" s="96" t="s">
        <v>34</v>
      </c>
      <c r="C152" s="164" t="s">
        <v>65</v>
      </c>
      <c r="D152" s="66">
        <v>512</v>
      </c>
      <c r="E152" s="101" t="s">
        <v>77</v>
      </c>
      <c r="F152" s="60" t="s">
        <v>380</v>
      </c>
      <c r="G152" s="190"/>
      <c r="H152" s="68"/>
      <c r="I152" s="247">
        <v>45987</v>
      </c>
      <c r="J152" s="71" t="s">
        <v>37</v>
      </c>
      <c r="K152" s="71" t="s">
        <v>37</v>
      </c>
      <c r="L152" s="71" t="s">
        <v>37</v>
      </c>
      <c r="M152" s="71" t="s">
        <v>37</v>
      </c>
      <c r="N152" s="71" t="s">
        <v>37</v>
      </c>
      <c r="O152" s="174" t="s">
        <v>35</v>
      </c>
      <c r="P152" s="168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</row>
    <row r="153" spans="1:39" x14ac:dyDescent="0.3">
      <c r="A153" s="49" t="s">
        <v>38</v>
      </c>
      <c r="B153" s="96" t="s">
        <v>34</v>
      </c>
      <c r="C153" s="164" t="s">
        <v>53</v>
      </c>
      <c r="D153" s="58">
        <v>521</v>
      </c>
      <c r="E153" s="59" t="s">
        <v>77</v>
      </c>
      <c r="F153" s="184" t="s">
        <v>380</v>
      </c>
      <c r="G153" s="120" t="s">
        <v>746</v>
      </c>
      <c r="H153" s="68"/>
      <c r="I153" s="167">
        <v>45849</v>
      </c>
      <c r="J153" s="177" t="s">
        <v>37</v>
      </c>
      <c r="K153" s="177" t="s">
        <v>37</v>
      </c>
      <c r="L153" s="177" t="s">
        <v>37</v>
      </c>
      <c r="M153" s="177" t="s">
        <v>37</v>
      </c>
      <c r="N153" s="177" t="s">
        <v>37</v>
      </c>
      <c r="O153" s="174" t="s">
        <v>0</v>
      </c>
      <c r="P153" s="168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</row>
    <row r="154" spans="1:39" x14ac:dyDescent="0.3">
      <c r="A154" s="44" t="s">
        <v>38</v>
      </c>
      <c r="B154" s="96" t="s">
        <v>39</v>
      </c>
      <c r="C154" s="71" t="s">
        <v>57</v>
      </c>
      <c r="D154" s="73">
        <v>427</v>
      </c>
      <c r="E154" s="152" t="s">
        <v>105</v>
      </c>
      <c r="F154" s="115" t="s">
        <v>380</v>
      </c>
      <c r="G154" s="120" t="s">
        <v>718</v>
      </c>
      <c r="H154" s="61"/>
      <c r="I154" s="106">
        <v>45595</v>
      </c>
      <c r="J154" s="87" t="s">
        <v>37</v>
      </c>
      <c r="K154" s="87" t="s">
        <v>37</v>
      </c>
      <c r="L154" s="87" t="s">
        <v>37</v>
      </c>
      <c r="M154" s="87" t="s">
        <v>37</v>
      </c>
      <c r="N154" s="172" t="s">
        <v>37</v>
      </c>
      <c r="O154" s="166"/>
      <c r="P154" s="6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</row>
    <row r="155" spans="1:39" x14ac:dyDescent="0.3">
      <c r="A155" s="44" t="s">
        <v>38</v>
      </c>
      <c r="B155" s="96" t="s">
        <v>39</v>
      </c>
      <c r="C155" s="71" t="s">
        <v>57</v>
      </c>
      <c r="D155" s="71">
        <v>428</v>
      </c>
      <c r="E155" s="99" t="s">
        <v>77</v>
      </c>
      <c r="F155" s="115" t="s">
        <v>380</v>
      </c>
      <c r="G155" s="120" t="s">
        <v>720</v>
      </c>
      <c r="H155" s="61"/>
      <c r="I155" s="62">
        <v>45826</v>
      </c>
      <c r="J155" s="66" t="s">
        <v>37</v>
      </c>
      <c r="K155" s="66" t="s">
        <v>37</v>
      </c>
      <c r="L155" s="66" t="s">
        <v>37</v>
      </c>
      <c r="M155" s="66" t="s">
        <v>37</v>
      </c>
      <c r="N155" s="70" t="s">
        <v>37</v>
      </c>
      <c r="O155" s="166"/>
      <c r="P155" s="6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</row>
    <row r="156" spans="1:39" x14ac:dyDescent="0.3">
      <c r="A156" s="44" t="s">
        <v>38</v>
      </c>
      <c r="B156" s="96" t="s">
        <v>39</v>
      </c>
      <c r="C156" s="71" t="s">
        <v>57</v>
      </c>
      <c r="D156" s="71">
        <v>429</v>
      </c>
      <c r="E156" s="94" t="s">
        <v>82</v>
      </c>
      <c r="F156" s="115" t="s">
        <v>380</v>
      </c>
      <c r="G156" s="120" t="s">
        <v>778</v>
      </c>
      <c r="H156" s="61"/>
      <c r="I156" s="93">
        <v>45611</v>
      </c>
      <c r="J156" s="66" t="s">
        <v>37</v>
      </c>
      <c r="K156" s="66" t="s">
        <v>37</v>
      </c>
      <c r="L156" s="66" t="s">
        <v>37</v>
      </c>
      <c r="M156" s="66" t="s">
        <v>37</v>
      </c>
      <c r="N156" s="70" t="s">
        <v>37</v>
      </c>
      <c r="O156" s="166"/>
      <c r="P156" s="6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</row>
    <row r="157" spans="1:39" x14ac:dyDescent="0.3">
      <c r="A157" s="44" t="s">
        <v>38</v>
      </c>
      <c r="B157" s="96" t="s">
        <v>39</v>
      </c>
      <c r="C157" s="71" t="s">
        <v>57</v>
      </c>
      <c r="D157" s="71">
        <v>430</v>
      </c>
      <c r="E157" s="92" t="s">
        <v>54</v>
      </c>
      <c r="F157" s="115" t="s">
        <v>380</v>
      </c>
      <c r="G157" s="120" t="s">
        <v>706</v>
      </c>
      <c r="H157" s="61"/>
      <c r="I157" s="93">
        <v>45582</v>
      </c>
      <c r="J157" s="66" t="s">
        <v>37</v>
      </c>
      <c r="K157" s="66" t="s">
        <v>37</v>
      </c>
      <c r="L157" s="66" t="s">
        <v>37</v>
      </c>
      <c r="M157" s="66" t="s">
        <v>37</v>
      </c>
      <c r="N157" s="70" t="s">
        <v>37</v>
      </c>
      <c r="O157" s="166"/>
      <c r="P157" s="6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</row>
    <row r="158" spans="1:39" x14ac:dyDescent="0.3">
      <c r="A158" s="44" t="s">
        <v>38</v>
      </c>
      <c r="B158" s="96" t="s">
        <v>39</v>
      </c>
      <c r="C158" s="71" t="s">
        <v>57</v>
      </c>
      <c r="D158" s="71">
        <v>431</v>
      </c>
      <c r="E158" s="92" t="s">
        <v>54</v>
      </c>
      <c r="F158" s="115" t="s">
        <v>380</v>
      </c>
      <c r="G158" s="120" t="s">
        <v>706</v>
      </c>
      <c r="H158" s="61"/>
      <c r="I158" s="93">
        <v>45582</v>
      </c>
      <c r="J158" s="66" t="s">
        <v>37</v>
      </c>
      <c r="K158" s="66" t="s">
        <v>37</v>
      </c>
      <c r="L158" s="66" t="s">
        <v>37</v>
      </c>
      <c r="M158" s="66" t="s">
        <v>37</v>
      </c>
      <c r="N158" s="70" t="s">
        <v>37</v>
      </c>
      <c r="O158" s="166"/>
      <c r="P158" s="6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</row>
    <row r="159" spans="1:39" x14ac:dyDescent="0.3">
      <c r="A159" s="44" t="s">
        <v>38</v>
      </c>
      <c r="B159" s="96" t="s">
        <v>39</v>
      </c>
      <c r="C159" s="71" t="s">
        <v>57</v>
      </c>
      <c r="D159" s="71">
        <v>432</v>
      </c>
      <c r="E159" s="92" t="s">
        <v>54</v>
      </c>
      <c r="F159" s="115" t="s">
        <v>380</v>
      </c>
      <c r="G159" s="120" t="s">
        <v>706</v>
      </c>
      <c r="H159" s="61"/>
      <c r="I159" s="93">
        <v>45582</v>
      </c>
      <c r="J159" s="96" t="s">
        <v>37</v>
      </c>
      <c r="K159" s="96" t="s">
        <v>37</v>
      </c>
      <c r="L159" s="96" t="s">
        <v>37</v>
      </c>
      <c r="M159" s="96" t="s">
        <v>37</v>
      </c>
      <c r="N159" s="114" t="s">
        <v>37</v>
      </c>
      <c r="O159" s="166"/>
      <c r="P159" s="6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</row>
    <row r="160" spans="1:39" x14ac:dyDescent="0.3">
      <c r="A160" s="49" t="s">
        <v>38</v>
      </c>
      <c r="B160" s="96" t="s">
        <v>34</v>
      </c>
      <c r="C160" s="164" t="s">
        <v>53</v>
      </c>
      <c r="D160" s="71">
        <v>522</v>
      </c>
      <c r="E160" s="99" t="s">
        <v>77</v>
      </c>
      <c r="F160" s="60" t="s">
        <v>380</v>
      </c>
      <c r="G160" s="121" t="s">
        <v>734</v>
      </c>
      <c r="H160" s="68"/>
      <c r="I160" s="167">
        <v>45894</v>
      </c>
      <c r="J160" s="71" t="s">
        <v>37</v>
      </c>
      <c r="K160" s="71" t="s">
        <v>37</v>
      </c>
      <c r="L160" s="71" t="s">
        <v>37</v>
      </c>
      <c r="M160" s="71"/>
      <c r="N160" s="71"/>
      <c r="O160" s="174"/>
      <c r="P160" s="168" t="s">
        <v>779</v>
      </c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</row>
    <row r="161" spans="1:39" x14ac:dyDescent="0.3">
      <c r="A161" s="49" t="s">
        <v>38</v>
      </c>
      <c r="B161" s="96" t="s">
        <v>34</v>
      </c>
      <c r="C161" s="164" t="s">
        <v>53</v>
      </c>
      <c r="D161" s="71">
        <v>524</v>
      </c>
      <c r="E161" s="99" t="s">
        <v>77</v>
      </c>
      <c r="F161" s="186" t="s">
        <v>380</v>
      </c>
      <c r="G161" s="120" t="s">
        <v>714</v>
      </c>
      <c r="H161" s="90"/>
      <c r="I161" s="167">
        <v>45856</v>
      </c>
      <c r="J161" s="177" t="s">
        <v>37</v>
      </c>
      <c r="K161" s="177" t="s">
        <v>37</v>
      </c>
      <c r="L161" s="177" t="s">
        <v>37</v>
      </c>
      <c r="M161" s="177" t="s">
        <v>37</v>
      </c>
      <c r="N161" s="177" t="s">
        <v>37</v>
      </c>
      <c r="O161" s="174" t="s">
        <v>0</v>
      </c>
      <c r="P161" s="168" t="s">
        <v>780</v>
      </c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</row>
    <row r="162" spans="1:39" x14ac:dyDescent="0.3">
      <c r="A162" s="44" t="s">
        <v>38</v>
      </c>
      <c r="B162" s="96" t="s">
        <v>39</v>
      </c>
      <c r="C162" s="71" t="s">
        <v>57</v>
      </c>
      <c r="D162" s="71">
        <v>527</v>
      </c>
      <c r="E162" s="100" t="s">
        <v>105</v>
      </c>
      <c r="F162" s="115" t="s">
        <v>380</v>
      </c>
      <c r="G162" s="120" t="s">
        <v>781</v>
      </c>
      <c r="H162" s="61"/>
      <c r="I162" s="93">
        <v>45590</v>
      </c>
      <c r="J162" s="165" t="s">
        <v>37</v>
      </c>
      <c r="K162" s="165" t="s">
        <v>37</v>
      </c>
      <c r="L162" s="165" t="s">
        <v>37</v>
      </c>
      <c r="M162" s="165" t="s">
        <v>37</v>
      </c>
      <c r="N162" s="173" t="s">
        <v>37</v>
      </c>
      <c r="O162" s="166"/>
      <c r="P162" s="6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</row>
    <row r="163" spans="1:39" x14ac:dyDescent="0.3">
      <c r="A163" s="49" t="s">
        <v>38</v>
      </c>
      <c r="B163" s="96" t="s">
        <v>39</v>
      </c>
      <c r="C163" s="164" t="s">
        <v>57</v>
      </c>
      <c r="D163" s="71">
        <v>525</v>
      </c>
      <c r="E163" s="99" t="s">
        <v>77</v>
      </c>
      <c r="F163" s="181" t="s">
        <v>790</v>
      </c>
      <c r="G163" s="120"/>
      <c r="H163" s="68"/>
      <c r="I163" s="167">
        <v>45933</v>
      </c>
      <c r="J163" s="71" t="s">
        <v>37</v>
      </c>
      <c r="K163" s="71" t="s">
        <v>37</v>
      </c>
      <c r="L163" s="71" t="s">
        <v>37</v>
      </c>
      <c r="M163" s="71" t="s">
        <v>38</v>
      </c>
      <c r="N163" s="71" t="s">
        <v>38</v>
      </c>
      <c r="O163" s="174" t="s">
        <v>722</v>
      </c>
      <c r="P163" s="168" t="s">
        <v>782</v>
      </c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</row>
    <row r="164" spans="1:39" x14ac:dyDescent="0.3">
      <c r="A164" s="44" t="s">
        <v>38</v>
      </c>
      <c r="B164" s="96" t="s">
        <v>39</v>
      </c>
      <c r="C164" s="71" t="s">
        <v>57</v>
      </c>
      <c r="D164" s="71">
        <v>529</v>
      </c>
      <c r="E164" s="94" t="s">
        <v>82</v>
      </c>
      <c r="F164" s="115" t="s">
        <v>380</v>
      </c>
      <c r="G164" s="120" t="s">
        <v>718</v>
      </c>
      <c r="H164" s="61"/>
      <c r="I164" s="93">
        <v>45590</v>
      </c>
      <c r="J164" s="87" t="s">
        <v>37</v>
      </c>
      <c r="K164" s="87" t="s">
        <v>37</v>
      </c>
      <c r="L164" s="87" t="s">
        <v>37</v>
      </c>
      <c r="M164" s="87" t="s">
        <v>37</v>
      </c>
      <c r="N164" s="172" t="s">
        <v>37</v>
      </c>
      <c r="O164" s="166"/>
      <c r="P164" s="6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</row>
    <row r="165" spans="1:39" x14ac:dyDescent="0.3">
      <c r="A165" s="44" t="s">
        <v>38</v>
      </c>
      <c r="B165" s="96" t="s">
        <v>39</v>
      </c>
      <c r="C165" s="71" t="s">
        <v>57</v>
      </c>
      <c r="D165" s="71">
        <v>530</v>
      </c>
      <c r="E165" s="92" t="s">
        <v>54</v>
      </c>
      <c r="F165" s="115" t="s">
        <v>380</v>
      </c>
      <c r="G165" s="120" t="s">
        <v>706</v>
      </c>
      <c r="H165" s="61"/>
      <c r="I165" s="93">
        <v>45582</v>
      </c>
      <c r="J165" s="66" t="s">
        <v>37</v>
      </c>
      <c r="K165" s="66" t="s">
        <v>37</v>
      </c>
      <c r="L165" s="66" t="s">
        <v>37</v>
      </c>
      <c r="M165" s="66" t="s">
        <v>37</v>
      </c>
      <c r="N165" s="70" t="s">
        <v>37</v>
      </c>
      <c r="O165" s="166"/>
      <c r="P165" s="6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</row>
    <row r="166" spans="1:39" x14ac:dyDescent="0.3">
      <c r="A166" s="44" t="s">
        <v>38</v>
      </c>
      <c r="B166" s="96" t="s">
        <v>39</v>
      </c>
      <c r="C166" s="71" t="s">
        <v>57</v>
      </c>
      <c r="D166" s="71">
        <v>531</v>
      </c>
      <c r="E166" s="92" t="s">
        <v>54</v>
      </c>
      <c r="F166" s="115" t="s">
        <v>380</v>
      </c>
      <c r="G166" s="120" t="s">
        <v>706</v>
      </c>
      <c r="H166" s="61"/>
      <c r="I166" s="93">
        <v>45582</v>
      </c>
      <c r="J166" s="66" t="s">
        <v>37</v>
      </c>
      <c r="K166" s="66" t="s">
        <v>37</v>
      </c>
      <c r="L166" s="66" t="s">
        <v>37</v>
      </c>
      <c r="M166" s="66" t="s">
        <v>37</v>
      </c>
      <c r="N166" s="70" t="s">
        <v>37</v>
      </c>
      <c r="O166" s="166"/>
      <c r="P166" s="6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</row>
    <row r="167" spans="1:39" x14ac:dyDescent="0.3">
      <c r="A167" s="44" t="s">
        <v>38</v>
      </c>
      <c r="B167" s="96" t="s">
        <v>39</v>
      </c>
      <c r="C167" s="71" t="s">
        <v>57</v>
      </c>
      <c r="D167" s="71">
        <v>532</v>
      </c>
      <c r="E167" s="92" t="s">
        <v>54</v>
      </c>
      <c r="F167" s="115" t="s">
        <v>380</v>
      </c>
      <c r="G167" s="120" t="s">
        <v>706</v>
      </c>
      <c r="H167" s="61"/>
      <c r="I167" s="106">
        <v>45582</v>
      </c>
      <c r="J167" s="96" t="s">
        <v>37</v>
      </c>
      <c r="K167" s="96" t="s">
        <v>37</v>
      </c>
      <c r="L167" s="96" t="s">
        <v>37</v>
      </c>
      <c r="M167" s="96" t="s">
        <v>37</v>
      </c>
      <c r="N167" s="114" t="s">
        <v>37</v>
      </c>
      <c r="O167" s="166"/>
      <c r="P167" s="6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</row>
    <row r="168" spans="1:39" x14ac:dyDescent="0.3">
      <c r="A168" s="49" t="s">
        <v>38</v>
      </c>
      <c r="B168" s="96" t="s">
        <v>39</v>
      </c>
      <c r="C168" s="164" t="s">
        <v>57</v>
      </c>
      <c r="D168" s="71">
        <v>526</v>
      </c>
      <c r="E168" s="99" t="s">
        <v>77</v>
      </c>
      <c r="F168" s="60" t="s">
        <v>380</v>
      </c>
      <c r="G168" s="120" t="s">
        <v>707</v>
      </c>
      <c r="H168" s="68"/>
      <c r="I168" s="167">
        <v>45891</v>
      </c>
      <c r="J168" s="71" t="s">
        <v>37</v>
      </c>
      <c r="K168" s="71" t="s">
        <v>37</v>
      </c>
      <c r="L168" s="71" t="s">
        <v>38</v>
      </c>
      <c r="M168" s="71" t="s">
        <v>38</v>
      </c>
      <c r="N168" s="71" t="s">
        <v>38</v>
      </c>
      <c r="O168" s="174"/>
      <c r="P168" s="168" t="s">
        <v>783</v>
      </c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</row>
    <row r="169" spans="1:39" x14ac:dyDescent="0.3">
      <c r="A169" s="44" t="s">
        <v>38</v>
      </c>
      <c r="B169" s="96" t="s">
        <v>39</v>
      </c>
      <c r="C169" s="71" t="s">
        <v>60</v>
      </c>
      <c r="D169" s="96">
        <v>134</v>
      </c>
      <c r="E169" s="97" t="s">
        <v>77</v>
      </c>
      <c r="F169" s="115" t="s">
        <v>380</v>
      </c>
      <c r="G169" s="120" t="s">
        <v>714</v>
      </c>
      <c r="H169" s="61"/>
      <c r="I169" s="93">
        <v>45796</v>
      </c>
      <c r="J169" s="87" t="s">
        <v>37</v>
      </c>
      <c r="K169" s="87" t="s">
        <v>37</v>
      </c>
      <c r="L169" s="87" t="s">
        <v>37</v>
      </c>
      <c r="M169" s="87" t="s">
        <v>37</v>
      </c>
      <c r="N169" s="172" t="s">
        <v>37</v>
      </c>
      <c r="O169" s="166"/>
      <c r="P169" s="6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</row>
    <row r="170" spans="1:39" x14ac:dyDescent="0.3">
      <c r="A170" s="44" t="s">
        <v>38</v>
      </c>
      <c r="B170" s="96" t="s">
        <v>39</v>
      </c>
      <c r="C170" s="71" t="s">
        <v>60</v>
      </c>
      <c r="D170" s="71">
        <v>135</v>
      </c>
      <c r="E170" s="151" t="s">
        <v>105</v>
      </c>
      <c r="F170" s="115" t="s">
        <v>380</v>
      </c>
      <c r="G170" s="120" t="s">
        <v>718</v>
      </c>
      <c r="H170" s="61"/>
      <c r="I170" s="144">
        <v>45600</v>
      </c>
      <c r="J170" s="171" t="s">
        <v>37</v>
      </c>
      <c r="K170" s="171" t="s">
        <v>37</v>
      </c>
      <c r="L170" s="171" t="s">
        <v>37</v>
      </c>
      <c r="M170" s="171" t="s">
        <v>37</v>
      </c>
      <c r="N170" s="114" t="s">
        <v>37</v>
      </c>
      <c r="O170" s="166"/>
      <c r="P170" s="6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</row>
    <row r="171" spans="1:39" x14ac:dyDescent="0.3">
      <c r="A171" s="49" t="s">
        <v>38</v>
      </c>
      <c r="B171" s="96" t="s">
        <v>39</v>
      </c>
      <c r="C171" s="164" t="s">
        <v>57</v>
      </c>
      <c r="D171" s="87">
        <v>528</v>
      </c>
      <c r="E171" s="107" t="s">
        <v>77</v>
      </c>
      <c r="F171" s="186" t="s">
        <v>380</v>
      </c>
      <c r="G171" s="121" t="s">
        <v>784</v>
      </c>
      <c r="H171" s="68"/>
      <c r="I171" s="167">
        <v>45898</v>
      </c>
      <c r="J171" s="71" t="s">
        <v>37</v>
      </c>
      <c r="K171" s="71" t="s">
        <v>37</v>
      </c>
      <c r="L171" s="71" t="s">
        <v>37</v>
      </c>
      <c r="M171" s="71" t="s">
        <v>37</v>
      </c>
      <c r="N171" s="71" t="s">
        <v>37</v>
      </c>
      <c r="O171" s="174"/>
      <c r="P171" s="168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</row>
    <row r="172" spans="1:39" x14ac:dyDescent="0.3">
      <c r="A172" s="44" t="s">
        <v>38</v>
      </c>
      <c r="B172" s="96" t="s">
        <v>39</v>
      </c>
      <c r="C172" s="71" t="s">
        <v>60</v>
      </c>
      <c r="D172" s="66">
        <v>137</v>
      </c>
      <c r="E172" s="140" t="s">
        <v>54</v>
      </c>
      <c r="F172" s="115" t="s">
        <v>380</v>
      </c>
      <c r="G172" s="120" t="s">
        <v>706</v>
      </c>
      <c r="H172" s="61"/>
      <c r="I172" s="93">
        <v>45582</v>
      </c>
      <c r="J172" s="87" t="s">
        <v>37</v>
      </c>
      <c r="K172" s="87" t="s">
        <v>37</v>
      </c>
      <c r="L172" s="87" t="s">
        <v>37</v>
      </c>
      <c r="M172" s="87" t="s">
        <v>37</v>
      </c>
      <c r="N172" s="172" t="s">
        <v>37</v>
      </c>
      <c r="O172" s="166"/>
      <c r="P172" s="6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</row>
    <row r="173" spans="1:39" x14ac:dyDescent="0.3">
      <c r="A173" s="44" t="s">
        <v>38</v>
      </c>
      <c r="B173" s="96" t="s">
        <v>39</v>
      </c>
      <c r="C173" s="71" t="s">
        <v>60</v>
      </c>
      <c r="D173" s="58">
        <v>138</v>
      </c>
      <c r="E173" s="132" t="s">
        <v>54</v>
      </c>
      <c r="F173" s="115" t="s">
        <v>380</v>
      </c>
      <c r="G173" s="120" t="s">
        <v>706</v>
      </c>
      <c r="H173" s="61"/>
      <c r="I173" s="145">
        <v>45588</v>
      </c>
      <c r="J173" s="149" t="s">
        <v>37</v>
      </c>
      <c r="K173" s="149" t="s">
        <v>37</v>
      </c>
      <c r="L173" s="149" t="s">
        <v>37</v>
      </c>
      <c r="M173" s="149" t="s">
        <v>37</v>
      </c>
      <c r="N173" s="64" t="s">
        <v>37</v>
      </c>
      <c r="O173" s="166"/>
      <c r="P173" s="6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</row>
    <row r="174" spans="1:39" x14ac:dyDescent="0.3">
      <c r="A174" s="44" t="s">
        <v>38</v>
      </c>
      <c r="B174" s="96" t="s">
        <v>39</v>
      </c>
      <c r="C174" s="71" t="s">
        <v>60</v>
      </c>
      <c r="D174" s="71">
        <v>139</v>
      </c>
      <c r="E174" s="131" t="s">
        <v>54</v>
      </c>
      <c r="F174" s="115" t="s">
        <v>380</v>
      </c>
      <c r="G174" s="120" t="s">
        <v>706</v>
      </c>
      <c r="H174" s="61"/>
      <c r="I174" s="144">
        <v>45582</v>
      </c>
      <c r="J174" s="150" t="s">
        <v>37</v>
      </c>
      <c r="K174" s="150" t="s">
        <v>37</v>
      </c>
      <c r="L174" s="150" t="s">
        <v>37</v>
      </c>
      <c r="M174" s="150" t="s">
        <v>37</v>
      </c>
      <c r="N174" s="70" t="s">
        <v>37</v>
      </c>
      <c r="O174" s="166"/>
      <c r="P174" s="6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</row>
    <row r="175" spans="1:39" x14ac:dyDescent="0.3">
      <c r="A175" s="44" t="s">
        <v>38</v>
      </c>
      <c r="B175" s="96" t="s">
        <v>39</v>
      </c>
      <c r="C175" s="71" t="s">
        <v>60</v>
      </c>
      <c r="D175" s="66">
        <v>140</v>
      </c>
      <c r="E175" s="135" t="s">
        <v>54</v>
      </c>
      <c r="F175" s="115" t="s">
        <v>380</v>
      </c>
      <c r="G175" s="120" t="s">
        <v>706</v>
      </c>
      <c r="H175" s="61"/>
      <c r="I175" s="144">
        <v>45582</v>
      </c>
      <c r="J175" s="150" t="s">
        <v>37</v>
      </c>
      <c r="K175" s="150" t="s">
        <v>37</v>
      </c>
      <c r="L175" s="150" t="s">
        <v>37</v>
      </c>
      <c r="M175" s="150" t="s">
        <v>37</v>
      </c>
      <c r="N175" s="70" t="s">
        <v>37</v>
      </c>
      <c r="O175" s="166"/>
      <c r="P175" s="6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</row>
    <row r="176" spans="1:39" x14ac:dyDescent="0.3">
      <c r="A176" s="44" t="s">
        <v>38</v>
      </c>
      <c r="B176" s="96" t="s">
        <v>39</v>
      </c>
      <c r="C176" s="71" t="s">
        <v>60</v>
      </c>
      <c r="D176" s="58">
        <v>233</v>
      </c>
      <c r="E176" s="59" t="s">
        <v>77</v>
      </c>
      <c r="F176" s="115" t="s">
        <v>380</v>
      </c>
      <c r="G176" s="120" t="s">
        <v>717</v>
      </c>
      <c r="H176" s="61"/>
      <c r="I176" s="148">
        <v>45625</v>
      </c>
      <c r="J176" s="63" t="s">
        <v>37</v>
      </c>
      <c r="K176" s="63" t="s">
        <v>37</v>
      </c>
      <c r="L176" s="63" t="s">
        <v>37</v>
      </c>
      <c r="M176" s="63" t="s">
        <v>37</v>
      </c>
      <c r="N176" s="64" t="s">
        <v>37</v>
      </c>
      <c r="O176" s="166"/>
      <c r="P176" s="6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</row>
    <row r="177" spans="1:39" x14ac:dyDescent="0.3">
      <c r="A177" s="44" t="s">
        <v>38</v>
      </c>
      <c r="B177" s="96" t="s">
        <v>39</v>
      </c>
      <c r="C177" s="71" t="s">
        <v>60</v>
      </c>
      <c r="D177" s="66">
        <v>234</v>
      </c>
      <c r="E177" s="101" t="s">
        <v>77</v>
      </c>
      <c r="F177" s="115" t="s">
        <v>380</v>
      </c>
      <c r="G177" s="120" t="s">
        <v>730</v>
      </c>
      <c r="H177" s="61"/>
      <c r="I177" s="93">
        <v>45632</v>
      </c>
      <c r="J177" s="66" t="s">
        <v>37</v>
      </c>
      <c r="K177" s="66" t="s">
        <v>37</v>
      </c>
      <c r="L177" s="66" t="s">
        <v>37</v>
      </c>
      <c r="M177" s="66" t="s">
        <v>37</v>
      </c>
      <c r="N177" s="70" t="s">
        <v>37</v>
      </c>
      <c r="O177" s="166"/>
      <c r="P177" s="6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</row>
    <row r="178" spans="1:39" x14ac:dyDescent="0.3">
      <c r="A178" s="44" t="s">
        <v>38</v>
      </c>
      <c r="B178" s="96" t="s">
        <v>39</v>
      </c>
      <c r="C178" s="71" t="s">
        <v>60</v>
      </c>
      <c r="D178" s="66">
        <v>235</v>
      </c>
      <c r="E178" s="139" t="s">
        <v>105</v>
      </c>
      <c r="F178" s="115" t="s">
        <v>380</v>
      </c>
      <c r="G178" s="120" t="s">
        <v>785</v>
      </c>
      <c r="H178" s="61"/>
      <c r="I178" s="93">
        <v>45636</v>
      </c>
      <c r="J178" s="66" t="s">
        <v>37</v>
      </c>
      <c r="K178" s="66" t="s">
        <v>37</v>
      </c>
      <c r="L178" s="66" t="s">
        <v>37</v>
      </c>
      <c r="M178" s="66" t="s">
        <v>37</v>
      </c>
      <c r="N178" s="70" t="s">
        <v>37</v>
      </c>
      <c r="O178" s="166"/>
      <c r="P178" s="6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</row>
    <row r="179" spans="1:39" x14ac:dyDescent="0.3">
      <c r="A179" s="44" t="s">
        <v>38</v>
      </c>
      <c r="B179" s="96" t="s">
        <v>39</v>
      </c>
      <c r="C179" s="71" t="s">
        <v>60</v>
      </c>
      <c r="D179" s="58">
        <v>236</v>
      </c>
      <c r="E179" s="59" t="s">
        <v>77</v>
      </c>
      <c r="F179" s="115" t="s">
        <v>380</v>
      </c>
      <c r="G179" s="120" t="s">
        <v>786</v>
      </c>
      <c r="H179" s="61"/>
      <c r="I179" s="62">
        <v>45625</v>
      </c>
      <c r="J179" s="63" t="s">
        <v>37</v>
      </c>
      <c r="K179" s="63" t="s">
        <v>37</v>
      </c>
      <c r="L179" s="63" t="s">
        <v>37</v>
      </c>
      <c r="M179" s="63" t="s">
        <v>37</v>
      </c>
      <c r="N179" s="64" t="s">
        <v>37</v>
      </c>
      <c r="O179" s="166"/>
      <c r="P179" s="6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</row>
    <row r="180" spans="1:39" x14ac:dyDescent="0.3">
      <c r="A180" s="44" t="s">
        <v>38</v>
      </c>
      <c r="B180" s="96" t="s">
        <v>39</v>
      </c>
      <c r="C180" s="71" t="s">
        <v>60</v>
      </c>
      <c r="D180" s="71">
        <v>237</v>
      </c>
      <c r="E180" s="94" t="s">
        <v>82</v>
      </c>
      <c r="F180" s="60" t="s">
        <v>380</v>
      </c>
      <c r="G180" s="120" t="s">
        <v>718</v>
      </c>
      <c r="H180" s="108"/>
      <c r="I180" s="93">
        <v>45590</v>
      </c>
      <c r="J180" s="66" t="s">
        <v>37</v>
      </c>
      <c r="K180" s="66" t="s">
        <v>37</v>
      </c>
      <c r="L180" s="66" t="s">
        <v>37</v>
      </c>
      <c r="M180" s="66" t="s">
        <v>37</v>
      </c>
      <c r="N180" s="70" t="s">
        <v>37</v>
      </c>
      <c r="O180" s="166"/>
      <c r="P180" s="6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</row>
    <row r="181" spans="1:39" x14ac:dyDescent="0.3">
      <c r="A181" s="44" t="s">
        <v>38</v>
      </c>
      <c r="B181" s="96" t="s">
        <v>39</v>
      </c>
      <c r="C181" s="71" t="s">
        <v>60</v>
      </c>
      <c r="D181" s="71">
        <v>238</v>
      </c>
      <c r="E181" s="92" t="s">
        <v>54</v>
      </c>
      <c r="F181" s="60" t="s">
        <v>380</v>
      </c>
      <c r="G181" s="120" t="s">
        <v>706</v>
      </c>
      <c r="H181" s="108"/>
      <c r="I181" s="93">
        <v>45582</v>
      </c>
      <c r="J181" s="66" t="s">
        <v>37</v>
      </c>
      <c r="K181" s="66" t="s">
        <v>37</v>
      </c>
      <c r="L181" s="66" t="s">
        <v>37</v>
      </c>
      <c r="M181" s="66" t="s">
        <v>37</v>
      </c>
      <c r="N181" s="70" t="s">
        <v>37</v>
      </c>
      <c r="O181" s="166"/>
      <c r="P181" s="6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</row>
    <row r="182" spans="1:39" x14ac:dyDescent="0.3">
      <c r="A182" s="44" t="s">
        <v>38</v>
      </c>
      <c r="B182" s="96" t="s">
        <v>39</v>
      </c>
      <c r="C182" s="71" t="s">
        <v>60</v>
      </c>
      <c r="D182" s="71">
        <v>239</v>
      </c>
      <c r="E182" s="92" t="s">
        <v>54</v>
      </c>
      <c r="F182" s="60" t="s">
        <v>380</v>
      </c>
      <c r="G182" s="120" t="s">
        <v>706</v>
      </c>
      <c r="H182" s="108"/>
      <c r="I182" s="93">
        <v>45582</v>
      </c>
      <c r="J182" s="66" t="s">
        <v>37</v>
      </c>
      <c r="K182" s="66" t="s">
        <v>37</v>
      </c>
      <c r="L182" s="66" t="s">
        <v>37</v>
      </c>
      <c r="M182" s="66" t="s">
        <v>37</v>
      </c>
      <c r="N182" s="70" t="s">
        <v>37</v>
      </c>
      <c r="O182" s="166"/>
      <c r="P182" s="6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</row>
    <row r="183" spans="1:39" x14ac:dyDescent="0.3">
      <c r="A183" s="44" t="s">
        <v>38</v>
      </c>
      <c r="B183" s="96" t="s">
        <v>39</v>
      </c>
      <c r="C183" s="71" t="s">
        <v>60</v>
      </c>
      <c r="D183" s="71">
        <v>240</v>
      </c>
      <c r="E183" s="92" t="s">
        <v>54</v>
      </c>
      <c r="F183" s="60" t="s">
        <v>380</v>
      </c>
      <c r="G183" s="120" t="s">
        <v>706</v>
      </c>
      <c r="H183" s="108"/>
      <c r="I183" s="93">
        <v>45582</v>
      </c>
      <c r="J183" s="66" t="s">
        <v>37</v>
      </c>
      <c r="K183" s="66" t="s">
        <v>37</v>
      </c>
      <c r="L183" s="66" t="s">
        <v>37</v>
      </c>
      <c r="M183" s="66" t="s">
        <v>37</v>
      </c>
      <c r="N183" s="70" t="s">
        <v>37</v>
      </c>
      <c r="O183" s="166"/>
      <c r="P183" s="6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</row>
    <row r="184" spans="1:39" x14ac:dyDescent="0.3">
      <c r="A184" s="44" t="s">
        <v>38</v>
      </c>
      <c r="B184" s="96" t="s">
        <v>39</v>
      </c>
      <c r="C184" s="71" t="s">
        <v>60</v>
      </c>
      <c r="D184" s="71">
        <v>333</v>
      </c>
      <c r="E184" s="99" t="s">
        <v>77</v>
      </c>
      <c r="F184" s="60" t="s">
        <v>380</v>
      </c>
      <c r="G184" s="120" t="s">
        <v>763</v>
      </c>
      <c r="H184" s="108"/>
      <c r="I184" s="93">
        <v>45666</v>
      </c>
      <c r="J184" s="66" t="s">
        <v>37</v>
      </c>
      <c r="K184" s="66" t="s">
        <v>37</v>
      </c>
      <c r="L184" s="66" t="s">
        <v>37</v>
      </c>
      <c r="M184" s="66" t="s">
        <v>37</v>
      </c>
      <c r="N184" s="70" t="s">
        <v>37</v>
      </c>
      <c r="O184" s="166"/>
      <c r="P184" s="6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</row>
    <row r="185" spans="1:39" x14ac:dyDescent="0.3">
      <c r="A185" s="44" t="s">
        <v>38</v>
      </c>
      <c r="B185" s="96" t="s">
        <v>39</v>
      </c>
      <c r="C185" s="71" t="s">
        <v>60</v>
      </c>
      <c r="D185" s="71">
        <v>334</v>
      </c>
      <c r="E185" s="99" t="s">
        <v>77</v>
      </c>
      <c r="F185" s="60" t="s">
        <v>380</v>
      </c>
      <c r="G185" s="120" t="s">
        <v>713</v>
      </c>
      <c r="H185" s="108"/>
      <c r="I185" s="93">
        <v>45723</v>
      </c>
      <c r="J185" s="66" t="s">
        <v>37</v>
      </c>
      <c r="K185" s="66" t="s">
        <v>37</v>
      </c>
      <c r="L185" s="66" t="s">
        <v>37</v>
      </c>
      <c r="M185" s="66" t="s">
        <v>37</v>
      </c>
      <c r="N185" s="70" t="s">
        <v>37</v>
      </c>
      <c r="O185" s="166"/>
      <c r="P185" s="6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</row>
    <row r="186" spans="1:39" x14ac:dyDescent="0.3">
      <c r="A186" s="44" t="s">
        <v>38</v>
      </c>
      <c r="B186" s="96" t="s">
        <v>39</v>
      </c>
      <c r="C186" s="71" t="s">
        <v>60</v>
      </c>
      <c r="D186" s="71">
        <v>335</v>
      </c>
      <c r="E186" s="100" t="s">
        <v>105</v>
      </c>
      <c r="F186" s="115" t="s">
        <v>380</v>
      </c>
      <c r="G186" s="120" t="s">
        <v>787</v>
      </c>
      <c r="H186" s="61"/>
      <c r="I186" s="93">
        <v>45604</v>
      </c>
      <c r="J186" s="66" t="s">
        <v>37</v>
      </c>
      <c r="K186" s="66" t="s">
        <v>37</v>
      </c>
      <c r="L186" s="66" t="s">
        <v>37</v>
      </c>
      <c r="M186" s="66" t="s">
        <v>37</v>
      </c>
      <c r="N186" s="70" t="s">
        <v>37</v>
      </c>
      <c r="O186" s="166"/>
      <c r="P186" s="6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</row>
    <row r="187" spans="1:39" x14ac:dyDescent="0.3">
      <c r="A187" s="44" t="s">
        <v>38</v>
      </c>
      <c r="B187" s="96" t="s">
        <v>39</v>
      </c>
      <c r="C187" s="71" t="s">
        <v>60</v>
      </c>
      <c r="D187" s="66">
        <v>336</v>
      </c>
      <c r="E187" s="101" t="s">
        <v>77</v>
      </c>
      <c r="F187" s="115" t="s">
        <v>380</v>
      </c>
      <c r="G187" s="120" t="s">
        <v>788</v>
      </c>
      <c r="H187" s="61"/>
      <c r="I187" s="93">
        <v>45653</v>
      </c>
      <c r="J187" s="66" t="s">
        <v>37</v>
      </c>
      <c r="K187" s="66" t="s">
        <v>37</v>
      </c>
      <c r="L187" s="66" t="s">
        <v>37</v>
      </c>
      <c r="M187" s="66" t="s">
        <v>37</v>
      </c>
      <c r="N187" s="70" t="s">
        <v>37</v>
      </c>
      <c r="O187" s="166"/>
      <c r="P187" s="6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</row>
    <row r="188" spans="1:39" x14ac:dyDescent="0.3">
      <c r="A188" s="44" t="s">
        <v>38</v>
      </c>
      <c r="B188" s="96" t="s">
        <v>39</v>
      </c>
      <c r="C188" s="71" t="s">
        <v>60</v>
      </c>
      <c r="D188" s="66">
        <v>337</v>
      </c>
      <c r="E188" s="141" t="s">
        <v>82</v>
      </c>
      <c r="F188" s="115" t="s">
        <v>380</v>
      </c>
      <c r="G188" s="120" t="s">
        <v>718</v>
      </c>
      <c r="H188" s="61"/>
      <c r="I188" s="93">
        <v>45590</v>
      </c>
      <c r="J188" s="66" t="s">
        <v>37</v>
      </c>
      <c r="K188" s="66" t="s">
        <v>37</v>
      </c>
      <c r="L188" s="66" t="s">
        <v>37</v>
      </c>
      <c r="M188" s="66" t="s">
        <v>37</v>
      </c>
      <c r="N188" s="70" t="s">
        <v>37</v>
      </c>
      <c r="O188" s="166"/>
      <c r="P188" s="6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</row>
    <row r="189" spans="1:39" x14ac:dyDescent="0.3">
      <c r="A189" s="44" t="s">
        <v>38</v>
      </c>
      <c r="B189" s="96" t="s">
        <v>39</v>
      </c>
      <c r="C189" s="71" t="s">
        <v>60</v>
      </c>
      <c r="D189" s="109">
        <v>338</v>
      </c>
      <c r="E189" s="142" t="s">
        <v>54</v>
      </c>
      <c r="F189" s="115" t="s">
        <v>380</v>
      </c>
      <c r="G189" s="120" t="s">
        <v>706</v>
      </c>
      <c r="H189" s="61"/>
      <c r="I189" s="62">
        <v>45582</v>
      </c>
      <c r="J189" s="63" t="s">
        <v>37</v>
      </c>
      <c r="K189" s="63" t="s">
        <v>37</v>
      </c>
      <c r="L189" s="63" t="s">
        <v>37</v>
      </c>
      <c r="M189" s="63" t="s">
        <v>37</v>
      </c>
      <c r="N189" s="64" t="s">
        <v>37</v>
      </c>
      <c r="O189" s="166"/>
      <c r="P189" s="6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</row>
    <row r="190" spans="1:39" x14ac:dyDescent="0.3">
      <c r="A190" s="44" t="s">
        <v>38</v>
      </c>
      <c r="B190" s="96" t="s">
        <v>39</v>
      </c>
      <c r="C190" s="71" t="s">
        <v>60</v>
      </c>
      <c r="D190" s="71">
        <v>339</v>
      </c>
      <c r="E190" s="92" t="s">
        <v>54</v>
      </c>
      <c r="F190" s="115" t="s">
        <v>380</v>
      </c>
      <c r="G190" s="120" t="s">
        <v>706</v>
      </c>
      <c r="H190" s="61"/>
      <c r="I190" s="93">
        <v>45595</v>
      </c>
      <c r="J190" s="66" t="s">
        <v>37</v>
      </c>
      <c r="K190" s="66" t="s">
        <v>37</v>
      </c>
      <c r="L190" s="66" t="s">
        <v>37</v>
      </c>
      <c r="M190" s="66" t="s">
        <v>37</v>
      </c>
      <c r="N190" s="70" t="s">
        <v>37</v>
      </c>
      <c r="O190" s="166"/>
      <c r="P190" s="6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</row>
    <row r="191" spans="1:39" x14ac:dyDescent="0.3">
      <c r="A191" s="44" t="s">
        <v>38</v>
      </c>
      <c r="B191" s="96" t="s">
        <v>39</v>
      </c>
      <c r="C191" s="71" t="s">
        <v>60</v>
      </c>
      <c r="D191" s="87">
        <v>340</v>
      </c>
      <c r="E191" s="137" t="s">
        <v>54</v>
      </c>
      <c r="F191" s="115" t="s">
        <v>380</v>
      </c>
      <c r="G191" s="120" t="s">
        <v>706</v>
      </c>
      <c r="H191" s="61"/>
      <c r="I191" s="93">
        <v>45582</v>
      </c>
      <c r="J191" s="66" t="s">
        <v>37</v>
      </c>
      <c r="K191" s="66" t="s">
        <v>37</v>
      </c>
      <c r="L191" s="66" t="s">
        <v>37</v>
      </c>
      <c r="M191" s="66" t="s">
        <v>37</v>
      </c>
      <c r="N191" s="70" t="s">
        <v>37</v>
      </c>
      <c r="O191" s="166"/>
      <c r="P191" s="6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x14ac:dyDescent="0.3">
      <c r="A192" s="44" t="s">
        <v>38</v>
      </c>
      <c r="B192" s="96" t="s">
        <v>39</v>
      </c>
      <c r="C192" s="71" t="s">
        <v>60</v>
      </c>
      <c r="D192" s="66">
        <v>433</v>
      </c>
      <c r="E192" s="101" t="s">
        <v>77</v>
      </c>
      <c r="F192" s="115" t="s">
        <v>380</v>
      </c>
      <c r="G192" s="120" t="s">
        <v>717</v>
      </c>
      <c r="H192" s="61"/>
      <c r="I192" s="93">
        <v>45670</v>
      </c>
      <c r="J192" s="66" t="s">
        <v>37</v>
      </c>
      <c r="K192" s="66" t="s">
        <v>37</v>
      </c>
      <c r="L192" s="66" t="s">
        <v>37</v>
      </c>
      <c r="M192" s="66" t="s">
        <v>37</v>
      </c>
      <c r="N192" s="70" t="s">
        <v>37</v>
      </c>
      <c r="O192" s="166"/>
      <c r="P192" s="6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x14ac:dyDescent="0.3">
      <c r="A193" s="44" t="s">
        <v>38</v>
      </c>
      <c r="B193" s="96" t="s">
        <v>39</v>
      </c>
      <c r="C193" s="71" t="s">
        <v>60</v>
      </c>
      <c r="D193" s="58">
        <v>434</v>
      </c>
      <c r="E193" s="59" t="s">
        <v>77</v>
      </c>
      <c r="F193" s="115" t="s">
        <v>380</v>
      </c>
      <c r="G193" s="120" t="s">
        <v>786</v>
      </c>
      <c r="H193" s="61"/>
      <c r="I193" s="62">
        <v>45625</v>
      </c>
      <c r="J193" s="63" t="s">
        <v>37</v>
      </c>
      <c r="K193" s="63" t="s">
        <v>37</v>
      </c>
      <c r="L193" s="63" t="s">
        <v>37</v>
      </c>
      <c r="M193" s="63" t="s">
        <v>37</v>
      </c>
      <c r="N193" s="64" t="s">
        <v>37</v>
      </c>
      <c r="O193" s="166"/>
      <c r="P193" s="6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x14ac:dyDescent="0.3">
      <c r="A194" s="44" t="s">
        <v>38</v>
      </c>
      <c r="B194" s="96" t="s">
        <v>39</v>
      </c>
      <c r="C194" s="71" t="s">
        <v>60</v>
      </c>
      <c r="D194" s="66">
        <v>435</v>
      </c>
      <c r="E194" s="139" t="s">
        <v>105</v>
      </c>
      <c r="F194" s="115" t="s">
        <v>380</v>
      </c>
      <c r="G194" s="120" t="s">
        <v>781</v>
      </c>
      <c r="H194" s="61"/>
      <c r="I194" s="93">
        <v>45595</v>
      </c>
      <c r="J194" s="66" t="s">
        <v>37</v>
      </c>
      <c r="K194" s="66" t="s">
        <v>37</v>
      </c>
      <c r="L194" s="66" t="s">
        <v>37</v>
      </c>
      <c r="M194" s="66" t="s">
        <v>37</v>
      </c>
      <c r="N194" s="70" t="s">
        <v>37</v>
      </c>
      <c r="O194" s="166"/>
      <c r="P194" s="6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x14ac:dyDescent="0.3">
      <c r="A195" s="44" t="s">
        <v>38</v>
      </c>
      <c r="B195" s="96" t="s">
        <v>39</v>
      </c>
      <c r="C195" s="71" t="s">
        <v>60</v>
      </c>
      <c r="D195" s="58">
        <v>436</v>
      </c>
      <c r="E195" s="59" t="s">
        <v>77</v>
      </c>
      <c r="F195" s="115" t="s">
        <v>380</v>
      </c>
      <c r="G195" s="120" t="s">
        <v>786</v>
      </c>
      <c r="H195" s="61"/>
      <c r="I195" s="62">
        <v>45625</v>
      </c>
      <c r="J195" s="63" t="s">
        <v>37</v>
      </c>
      <c r="K195" s="63" t="s">
        <v>37</v>
      </c>
      <c r="L195" s="63" t="s">
        <v>37</v>
      </c>
      <c r="M195" s="63" t="s">
        <v>37</v>
      </c>
      <c r="N195" s="64" t="s">
        <v>37</v>
      </c>
      <c r="O195" s="166"/>
      <c r="P195" s="6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</row>
    <row r="196" spans="1:39" x14ac:dyDescent="0.3">
      <c r="A196" s="44" t="s">
        <v>38</v>
      </c>
      <c r="B196" s="96" t="s">
        <v>39</v>
      </c>
      <c r="C196" s="71" t="s">
        <v>60</v>
      </c>
      <c r="D196" s="71">
        <v>437</v>
      </c>
      <c r="E196" s="94" t="s">
        <v>82</v>
      </c>
      <c r="F196" s="115" t="s">
        <v>380</v>
      </c>
      <c r="G196" s="120" t="s">
        <v>718</v>
      </c>
      <c r="H196" s="61"/>
      <c r="I196" s="93">
        <v>45594</v>
      </c>
      <c r="J196" s="66" t="s">
        <v>37</v>
      </c>
      <c r="K196" s="66" t="s">
        <v>37</v>
      </c>
      <c r="L196" s="66" t="s">
        <v>37</v>
      </c>
      <c r="M196" s="66" t="s">
        <v>37</v>
      </c>
      <c r="N196" s="70" t="s">
        <v>37</v>
      </c>
      <c r="O196" s="166"/>
      <c r="P196" s="6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</row>
    <row r="197" spans="1:39" x14ac:dyDescent="0.3">
      <c r="A197" s="44" t="s">
        <v>38</v>
      </c>
      <c r="B197" s="96" t="s">
        <v>39</v>
      </c>
      <c r="C197" s="71" t="s">
        <v>60</v>
      </c>
      <c r="D197" s="71">
        <v>438</v>
      </c>
      <c r="E197" s="92" t="s">
        <v>54</v>
      </c>
      <c r="F197" s="115" t="s">
        <v>380</v>
      </c>
      <c r="G197" s="120" t="s">
        <v>706</v>
      </c>
      <c r="H197" s="61"/>
      <c r="I197" s="93">
        <v>45582</v>
      </c>
      <c r="J197" s="66" t="s">
        <v>37</v>
      </c>
      <c r="K197" s="66" t="s">
        <v>37</v>
      </c>
      <c r="L197" s="66" t="s">
        <v>37</v>
      </c>
      <c r="M197" s="66" t="s">
        <v>37</v>
      </c>
      <c r="N197" s="70" t="s">
        <v>37</v>
      </c>
      <c r="O197" s="166"/>
      <c r="P197" s="6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</row>
    <row r="198" spans="1:39" x14ac:dyDescent="0.3">
      <c r="A198" s="44" t="s">
        <v>38</v>
      </c>
      <c r="B198" s="96" t="s">
        <v>39</v>
      </c>
      <c r="C198" s="71" t="s">
        <v>60</v>
      </c>
      <c r="D198" s="71">
        <v>439</v>
      </c>
      <c r="E198" s="92" t="s">
        <v>54</v>
      </c>
      <c r="F198" s="115" t="s">
        <v>380</v>
      </c>
      <c r="G198" s="120" t="s">
        <v>706</v>
      </c>
      <c r="H198" s="61"/>
      <c r="I198" s="93">
        <v>45582</v>
      </c>
      <c r="J198" s="66" t="s">
        <v>37</v>
      </c>
      <c r="K198" s="66" t="s">
        <v>37</v>
      </c>
      <c r="L198" s="66" t="s">
        <v>37</v>
      </c>
      <c r="M198" s="66" t="s">
        <v>37</v>
      </c>
      <c r="N198" s="70" t="s">
        <v>37</v>
      </c>
      <c r="O198" s="166"/>
      <c r="P198" s="6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</row>
    <row r="199" spans="1:39" x14ac:dyDescent="0.3">
      <c r="A199" s="44" t="s">
        <v>38</v>
      </c>
      <c r="B199" s="96" t="s">
        <v>39</v>
      </c>
      <c r="C199" s="71" t="s">
        <v>60</v>
      </c>
      <c r="D199" s="71">
        <v>440</v>
      </c>
      <c r="E199" s="92" t="s">
        <v>54</v>
      </c>
      <c r="F199" s="115" t="s">
        <v>380</v>
      </c>
      <c r="G199" s="120" t="s">
        <v>706</v>
      </c>
      <c r="H199" s="61"/>
      <c r="I199" s="93">
        <v>45582</v>
      </c>
      <c r="J199" s="66" t="s">
        <v>37</v>
      </c>
      <c r="K199" s="66" t="s">
        <v>37</v>
      </c>
      <c r="L199" s="66" t="s">
        <v>37</v>
      </c>
      <c r="M199" s="66" t="s">
        <v>37</v>
      </c>
      <c r="N199" s="70" t="s">
        <v>37</v>
      </c>
      <c r="O199" s="166"/>
      <c r="P199" s="6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</row>
    <row r="200" spans="1:39" x14ac:dyDescent="0.3">
      <c r="A200" s="44" t="s">
        <v>38</v>
      </c>
      <c r="B200" s="96" t="s">
        <v>39</v>
      </c>
      <c r="C200" s="71" t="s">
        <v>60</v>
      </c>
      <c r="D200" s="66">
        <v>533</v>
      </c>
      <c r="E200" s="101" t="s">
        <v>77</v>
      </c>
      <c r="F200" s="115" t="s">
        <v>380</v>
      </c>
      <c r="G200" s="120" t="s">
        <v>752</v>
      </c>
      <c r="H200" s="61"/>
      <c r="I200" s="93">
        <v>45786</v>
      </c>
      <c r="J200" s="96" t="s">
        <v>37</v>
      </c>
      <c r="K200" s="96" t="s">
        <v>37</v>
      </c>
      <c r="L200" s="96" t="s">
        <v>37</v>
      </c>
      <c r="M200" s="96" t="s">
        <v>37</v>
      </c>
      <c r="N200" s="114" t="s">
        <v>37</v>
      </c>
      <c r="O200" s="166"/>
      <c r="P200" s="6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</row>
    <row r="201" spans="1:39" x14ac:dyDescent="0.3">
      <c r="A201" s="49" t="s">
        <v>38</v>
      </c>
      <c r="B201" s="96" t="s">
        <v>39</v>
      </c>
      <c r="C201" s="164" t="s">
        <v>60</v>
      </c>
      <c r="D201" s="58">
        <v>534</v>
      </c>
      <c r="E201" s="59" t="s">
        <v>77</v>
      </c>
      <c r="F201" s="60" t="s">
        <v>380</v>
      </c>
      <c r="G201" s="120" t="s">
        <v>754</v>
      </c>
      <c r="H201" s="68"/>
      <c r="I201" s="167">
        <v>45897</v>
      </c>
      <c r="J201" s="174" t="s">
        <v>37</v>
      </c>
      <c r="K201" s="174" t="s">
        <v>37</v>
      </c>
      <c r="L201" s="174" t="s">
        <v>37</v>
      </c>
      <c r="M201" s="174"/>
      <c r="N201" s="174"/>
      <c r="O201" s="174"/>
      <c r="P201" s="168" t="s">
        <v>789</v>
      </c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</row>
    <row r="202" spans="1:39" x14ac:dyDescent="0.3">
      <c r="A202" s="44" t="s">
        <v>38</v>
      </c>
      <c r="B202" s="96" t="s">
        <v>39</v>
      </c>
      <c r="C202" s="71" t="s">
        <v>60</v>
      </c>
      <c r="D202" s="71">
        <v>535</v>
      </c>
      <c r="E202" s="92" t="s">
        <v>54</v>
      </c>
      <c r="F202" s="60" t="s">
        <v>380</v>
      </c>
      <c r="G202" s="120" t="s">
        <v>706</v>
      </c>
      <c r="H202" s="108"/>
      <c r="I202" s="93">
        <v>45582</v>
      </c>
      <c r="J202" s="87" t="s">
        <v>37</v>
      </c>
      <c r="K202" s="87" t="s">
        <v>37</v>
      </c>
      <c r="L202" s="87" t="s">
        <v>37</v>
      </c>
      <c r="M202" s="87" t="s">
        <v>37</v>
      </c>
      <c r="N202" s="172" t="s">
        <v>37</v>
      </c>
      <c r="O202" s="166"/>
      <c r="P202" s="6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</row>
    <row r="203" spans="1:39" x14ac:dyDescent="0.3">
      <c r="A203" s="44" t="s">
        <v>38</v>
      </c>
      <c r="B203" s="96" t="s">
        <v>39</v>
      </c>
      <c r="C203" s="71" t="s">
        <v>60</v>
      </c>
      <c r="D203" s="71">
        <v>536</v>
      </c>
      <c r="E203" s="99" t="s">
        <v>77</v>
      </c>
      <c r="F203" s="60" t="s">
        <v>380</v>
      </c>
      <c r="G203" s="120" t="s">
        <v>785</v>
      </c>
      <c r="H203" s="108"/>
      <c r="I203" s="93">
        <v>45632</v>
      </c>
      <c r="J203" s="66" t="s">
        <v>37</v>
      </c>
      <c r="K203" s="66" t="s">
        <v>37</v>
      </c>
      <c r="L203" s="66" t="s">
        <v>37</v>
      </c>
      <c r="M203" s="66" t="s">
        <v>37</v>
      </c>
      <c r="N203" s="70" t="s">
        <v>37</v>
      </c>
      <c r="O203" s="166"/>
      <c r="P203" s="6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</row>
    <row r="204" spans="1:39" x14ac:dyDescent="0.3">
      <c r="A204" s="44" t="s">
        <v>38</v>
      </c>
      <c r="B204" s="96" t="s">
        <v>39</v>
      </c>
      <c r="C204" s="71" t="s">
        <v>60</v>
      </c>
      <c r="D204" s="71">
        <v>537</v>
      </c>
      <c r="E204" s="94" t="s">
        <v>82</v>
      </c>
      <c r="F204" s="60" t="s">
        <v>380</v>
      </c>
      <c r="G204" s="120" t="s">
        <v>717</v>
      </c>
      <c r="H204" s="108"/>
      <c r="I204" s="93">
        <v>45644</v>
      </c>
      <c r="J204" s="66" t="s">
        <v>37</v>
      </c>
      <c r="K204" s="66" t="s">
        <v>37</v>
      </c>
      <c r="L204" s="66" t="s">
        <v>37</v>
      </c>
      <c r="M204" s="66" t="s">
        <v>37</v>
      </c>
      <c r="N204" s="70" t="s">
        <v>37</v>
      </c>
      <c r="O204" s="166"/>
      <c r="P204" s="6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</row>
    <row r="205" spans="1:39" x14ac:dyDescent="0.3">
      <c r="A205" s="44" t="s">
        <v>38</v>
      </c>
      <c r="B205" s="96" t="s">
        <v>39</v>
      </c>
      <c r="C205" s="71" t="s">
        <v>60</v>
      </c>
      <c r="D205" s="71">
        <v>538</v>
      </c>
      <c r="E205" s="92" t="s">
        <v>54</v>
      </c>
      <c r="F205" s="60" t="s">
        <v>380</v>
      </c>
      <c r="G205" s="120" t="s">
        <v>706</v>
      </c>
      <c r="H205" s="108"/>
      <c r="I205" s="102">
        <v>45582</v>
      </c>
      <c r="J205" s="66" t="s">
        <v>37</v>
      </c>
      <c r="K205" s="66" t="s">
        <v>37</v>
      </c>
      <c r="L205" s="66" t="s">
        <v>37</v>
      </c>
      <c r="M205" s="66" t="s">
        <v>37</v>
      </c>
      <c r="N205" s="70" t="s">
        <v>37</v>
      </c>
      <c r="O205" s="166"/>
      <c r="P205" s="6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</row>
    <row r="206" spans="1:39" x14ac:dyDescent="0.3">
      <c r="A206" s="44" t="s">
        <v>38</v>
      </c>
      <c r="B206" s="96" t="s">
        <v>39</v>
      </c>
      <c r="C206" s="83" t="s">
        <v>60</v>
      </c>
      <c r="D206" s="83">
        <v>539</v>
      </c>
      <c r="E206" s="111" t="s">
        <v>54</v>
      </c>
      <c r="F206" s="60" t="s">
        <v>380</v>
      </c>
      <c r="G206" s="120" t="s">
        <v>706</v>
      </c>
      <c r="H206" s="112"/>
      <c r="I206" s="113">
        <v>45588</v>
      </c>
      <c r="J206" s="96" t="s">
        <v>37</v>
      </c>
      <c r="K206" s="96" t="s">
        <v>37</v>
      </c>
      <c r="L206" s="96" t="s">
        <v>37</v>
      </c>
      <c r="M206" s="96" t="s">
        <v>37</v>
      </c>
      <c r="N206" s="114" t="s">
        <v>37</v>
      </c>
      <c r="O206" s="166"/>
      <c r="P206" s="9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</row>
    <row r="207" spans="1:39" x14ac:dyDescent="0.3">
      <c r="A207" s="44" t="s">
        <v>38</v>
      </c>
      <c r="B207" s="66" t="s">
        <v>39</v>
      </c>
      <c r="C207" s="66" t="s">
        <v>60</v>
      </c>
      <c r="D207" s="66">
        <v>540</v>
      </c>
      <c r="E207" s="332" t="s">
        <v>54</v>
      </c>
      <c r="F207" s="160" t="s">
        <v>380</v>
      </c>
      <c r="G207" s="161" t="s">
        <v>706</v>
      </c>
      <c r="H207" s="112"/>
      <c r="I207" s="162">
        <v>45582</v>
      </c>
      <c r="J207" s="83" t="s">
        <v>37</v>
      </c>
      <c r="K207" s="83" t="s">
        <v>37</v>
      </c>
      <c r="L207" s="83" t="s">
        <v>37</v>
      </c>
      <c r="M207" s="83" t="s">
        <v>37</v>
      </c>
      <c r="N207" s="83" t="s">
        <v>37</v>
      </c>
      <c r="O207" s="83"/>
      <c r="P207" s="9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</row>
    <row r="208" spans="1:39" x14ac:dyDescent="0.3">
      <c r="A208" s="49" t="s">
        <v>38</v>
      </c>
      <c r="B208" s="49" t="s">
        <v>38</v>
      </c>
      <c r="C208" s="49" t="s">
        <v>38</v>
      </c>
      <c r="D208" s="49" t="s">
        <v>38</v>
      </c>
      <c r="E208" s="49" t="s">
        <v>38</v>
      </c>
      <c r="F208" s="49" t="s">
        <v>38</v>
      </c>
      <c r="G208" s="49"/>
      <c r="H208" s="49"/>
      <c r="I208" s="49" t="s">
        <v>38</v>
      </c>
      <c r="J208" s="49" t="s">
        <v>38</v>
      </c>
      <c r="K208" s="49" t="s">
        <v>38</v>
      </c>
      <c r="L208" s="49" t="s">
        <v>38</v>
      </c>
      <c r="M208" s="49" t="s">
        <v>38</v>
      </c>
      <c r="N208" s="49" t="s">
        <v>38</v>
      </c>
      <c r="O208" s="49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</row>
    <row r="209" spans="1:39" x14ac:dyDescent="0.3">
      <c r="A209" s="49" t="s">
        <v>38</v>
      </c>
      <c r="B209" s="49" t="s">
        <v>38</v>
      </c>
      <c r="C209" s="49" t="s">
        <v>38</v>
      </c>
      <c r="D209" s="49" t="s">
        <v>38</v>
      </c>
      <c r="E209" s="49" t="s">
        <v>38</v>
      </c>
      <c r="F209" s="49" t="s">
        <v>38</v>
      </c>
      <c r="G209" s="49"/>
      <c r="H209" s="49"/>
      <c r="I209" s="49" t="s">
        <v>38</v>
      </c>
      <c r="J209" s="49" t="s">
        <v>38</v>
      </c>
      <c r="K209" s="49" t="s">
        <v>38</v>
      </c>
      <c r="L209" s="49" t="s">
        <v>38</v>
      </c>
      <c r="M209" s="49" t="s">
        <v>38</v>
      </c>
      <c r="N209" s="49" t="s">
        <v>38</v>
      </c>
      <c r="O209" s="49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</row>
  </sheetData>
  <autoFilter ref="B7:P209" xr:uid="{E22DFDB6-D6C7-4CD5-BD60-51F7054E9D9E}">
    <sortState xmlns:xlrd2="http://schemas.microsoft.com/office/spreadsheetml/2017/richdata2" ref="B8:P209">
      <sortCondition ref="D7:D209"/>
    </sortState>
  </autoFilter>
  <sortState xmlns:xlrd2="http://schemas.microsoft.com/office/spreadsheetml/2017/richdata2" ref="B8:P207">
    <sortCondition ref="C8:C207"/>
    <sortCondition ref="D8:D207"/>
  </sortState>
  <mergeCells count="1">
    <mergeCell ref="J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PV - ASM II</vt:lpstr>
      <vt:lpstr>B.DATOS - ASM II</vt:lpstr>
      <vt:lpstr>ENTREGA SMII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Fuentealba</dc:creator>
  <cp:keywords/>
  <dc:description/>
  <cp:lastModifiedBy>Angel Fuentealba</cp:lastModifiedBy>
  <cp:revision/>
  <dcterms:created xsi:type="dcterms:W3CDTF">2024-05-16T12:38:24Z</dcterms:created>
  <dcterms:modified xsi:type="dcterms:W3CDTF">2025-10-30T14:41:11Z</dcterms:modified>
  <cp:category/>
  <cp:contentStatus/>
</cp:coreProperties>
</file>